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349ceac74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писание" sheetId="1" r:id="R77b6d976c3aa43f8"/>
    <x:sheet xmlns:r="http://schemas.openxmlformats.org/officeDocument/2006/relationships" name="Этапы" sheetId="2" r:id="R4581f617a904441e"/>
    <x:sheet xmlns:r="http://schemas.openxmlformats.org/officeDocument/2006/relationships" name="Уроки" sheetId="3" r:id="R3a3def55b1054892"/>
    <x:sheet xmlns:r="http://schemas.openxmlformats.org/officeDocument/2006/relationships" name="Справочник" sheetId="4" r:id="R3b18209fcfb5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5">
    <x:font>
      <x:sz val="11"/>
      <x:name val="Carlito"/>
    </x:font>
    <x:font>
      <x:sz val="10"/>
      <x:color rgb="FF23334A"/>
      <x:name val="Arial"/>
    </x:font>
    <x:font>
      <x:b/>
      <x:sz val="15"/>
      <x:color rgb="FF253F67"/>
      <x:name val="Arial"/>
    </x:font>
    <x:font>
      <x:i/>
      <x:sz val="10"/>
      <x:color rgb="FF62738C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D"/>
      </x:patternFill>
    </x:fill>
    <x:fill>
      <x:patternFill patternType="solid">
        <x:fgColor rgb="FFEBF1FB"/>
      </x:patternFill>
    </x:fill>
    <x:fill>
      <x:patternFill patternType="solid">
        <x:fgColor rgb="FF253F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FF215B3C"/>
      </x:font>
      <x:fill>
        <x:patternFill patternType="solid">
          <x:bgColor rgb="FFDDEFE4"/>
        </x:patternFill>
      </x:fill>
    </x:dxf>
    <x:dxf>
      <x:font>
        <x:color rgb="FF8A3E25"/>
      </x:font>
      <x:fill>
        <x:patternFill patternType="solid">
          <x:bgColor rgb="FFFFE2D8"/>
        </x:patternFill>
      </x:fill>
    </x:dxf>
    <x:dxf>
      <x:font>
        <x:color rgb="FF8A3E25"/>
      </x:font>
      <x:fill>
        <x:patternFill patternType="solid">
          <x:bgColor rgb="FFFFE2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e78b08c3d4cf9" /><Relationship Type="http://schemas.openxmlformats.org/officeDocument/2006/relationships/theme" Target="/xl/theme/theme1.xml" Id="R20635ea64e4a481b" /><Relationship Type="http://schemas.openxmlformats.org/officeDocument/2006/relationships/sharedStrings" Target="/xl/sharedStrings.xml" Id="R160e8bc9ed6e4b08" /><Relationship Type="http://schemas.openxmlformats.org/officeDocument/2006/relationships/worksheet" Target="/xl/worksheets/sheet1.xml" Id="R77b6d976c3aa43f8" /><Relationship Type="http://schemas.openxmlformats.org/officeDocument/2006/relationships/worksheet" Target="/xl/worksheets/sheet2.xml" Id="R4581f617a904441e" /><Relationship Type="http://schemas.openxmlformats.org/officeDocument/2006/relationships/worksheet" Target="/xl/worksheets/sheet3.xml" Id="R3a3def55b1054892" /><Relationship Type="http://schemas.openxmlformats.org/officeDocument/2006/relationships/worksheet" Target="/xl/worksheets/sheet4.xml" Id="R3b18209fcfb548c0" /></Relationships>
</file>

<file path=xl/tables/table1.xml><?xml version="1.0" encoding="utf-8"?>
<x:table xmlns:x="http://schemas.openxmlformats.org/spreadsheetml/2006/main" id="1" name="DailyPlan" displayName="DailyPlan" ref="A11:P71" headerRowCount="1" totalsRowCount="0" totalsRowShown="0">
  <x:tableColumns count="16">
    <x:tableColumn id="1" name="День"/>
    <x:tableColumn id="2" name="Дата"/>
    <x:tableColumn id="3" name="День недели"/>
    <x:tableColumn id="4" name="Этап"/>
    <x:tableColumn id="5" name="Урок / практикум"/>
    <x:tableColumn id="6" name="План, ч"/>
    <x:tableColumn id="7" name="Теория, ч"/>
    <x:tableColumn id="8" name="Практика, ч"/>
    <x:tableColumn id="9" name="Повтор, ч"/>
    <x:tableColumn id="10" name="Факт, ч"/>
    <x:tableColumn id="11" name="Статус"/>
    <x:tableColumn id="12" name="Результат дня"/>
    <x:tableColumn id="13" name="Самостоятельная работа"/>
    <x:tableColumn id="14" name="Критерии готовности"/>
    <x:tableColumn id="15" name="Ваши заметки"/>
    <x:tableColumn id="16" name="Ручные часы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tageResults" displayName="StageResults" ref="A5:I17" headerRowCount="1" totalsRowCount="0" totalsRowShown="0">
  <x:tableColumns count="9">
    <x:tableColumn id="1" name="№"/>
    <x:tableColumn id="2" name="Этап"/>
    <x:tableColumn id="3" name="Начало"/>
    <x:tableColumn id="4" name="Конец"/>
    <x:tableColumn id="5" name="План, ч"/>
    <x:tableColumn id="6" name="Факт, ч"/>
    <x:tableColumn id="7" name="Готово / 5"/>
    <x:tableColumn id="8" name="Артефакты"/>
    <x:tableColumn id="9" name="Задание практикума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LessonCatalog" displayName="LessonCatalog" ref="A5:G53" headerRowCount="1" totalsRowCount="0" totalsRowShown="0">
  <x:tableColumns count="7">
    <x:tableColumn id="1" name="№"/>
    <x:tableColumn id="2" name="Этап"/>
    <x:tableColumn id="3" name="Урок"/>
    <x:tableColumn id="4" name="Что разобрать"/>
    <x:tableColumn id="5" name="Практика"/>
    <x:tableColumn id="6" name="Критерии"/>
    <x:tableColumn id="7" name="Адрес урока (скопируйте в браузер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44dd584bdc4c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91d0af083247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8cd10ab5074677" /></Relationships>
</file>

<file path=xl/worksheets/sheet1.xml><?xml version="1.0" encoding="utf-8"?>
<x:worksheet xmlns:x="http://schemas.openxmlformats.org/spreadsheetml/2006/main">
  <x:sheetPr>
    <x:tabColor rgb="FF253F67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29" hidden="0" customWidth="1"/>
    <x:col min="5" max="5" width="45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4" hidden="0" customWidth="1"/>
    <x:col min="11" max="11" width="16" hidden="0" customWidth="1"/>
    <x:col min="12" max="12" width="45" hidden="0" customWidth="1"/>
    <x:col min="13" max="13" width="65" hidden="0" customWidth="1"/>
    <x:col min="14" max="14" width="60" hidden="0" customWidth="1"/>
    <x:col min="15" max="15" width="45" hidden="0" customWidth="1"/>
    <x:col min="16" max="16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Python, BI, AI и 1С. План подготовки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 t="str">
        <x:v>Начало</x:v>
      </x:c>
      <x:c r="B4" s="5" t="n">
        <x:v>46328</x:v>
      </x:c>
      <x:c r="C4" s="2"/>
      <x:c r="D4" s="2" t="str">
        <x:v>Дедлайн</x:v>
      </x:c>
      <x:c r="E4" s="5" t="n">
        <x:v>46387</x:v>
      </x:c>
      <x:c r="F4" s="2"/>
      <x:c r="G4" s="2" t="str">
        <x:v>Будни, ч</x:v>
      </x:c>
      <x:c r="H4" s="4" t="n">
        <x:v>7</x:v>
      </x:c>
      <x:c r="I4" s="2"/>
      <x:c r="J4" s="2" t="str">
        <x:v>Выходные, ч</x:v>
      </x:c>
      <x:c r="K4" s="4" t="n">
        <x:v>4</x:v>
      </x:c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A6" s="2" t="str">
        <x:v>План, ч</x:v>
      </x:c>
      <x:c r="B6" s="2" t="n">
        <x:f>SUM(F12:F71)</x:f>
        <x:v>372</x:v>
      </x:c>
      <x:c r="C6" s="2"/>
      <x:c r="D6" s="2" t="str">
        <x:v>Факт, ч</x:v>
      </x:c>
      <x:c r="E6" s="2" t="n">
        <x:f>SUM(J12:J71)</x:f>
        <x:v>0</x:v>
      </x:c>
      <x:c r="F6" s="2"/>
      <x:c r="G6" s="2" t="str">
        <x:v>Готово, дней</x:v>
      </x:c>
      <x:c r="H6" s="2" t="n">
        <x:f>COUNTIFS(K12:K71,"Готово")</x:f>
        <x:v>0</x:v>
      </x:c>
      <x:c r="I6" s="2"/>
      <x:c r="J6" s="2" t="str">
        <x:v>Прогресс</x:v>
      </x:c>
      <x:c r="K6" s="6" t="n">
        <x:f>H6/60</x:f>
        <x:v>0</x:v>
      </x:c>
      <x:c r="L6" s="2"/>
      <x:c r="M6" s="2"/>
      <x:c r="N6" s="2"/>
      <x:c r="O6" s="2"/>
      <x:c r="P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2" customHeight="1">
      <x:c r="A8" s="7" t="str">
        <x:v>Жёлтые поля редактируются. Будни: 7 ч в пределах ваших 6–8. Выходные: допущение 4 ч.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2" customHeight="1">
      <x:c r="A9" s="7" t="str">
        <x:v>План на 60 дней. Дату можно менять и по строкам. В P — ручные часы дня (0 допустим). Пусто — общая нагрузка.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2" customHeight="1">
      <x:c r="A10" s="7" t="str">
        <x:v>G/H/I — теория, практика, повтор (25% / 55% / остаток). Перерывы отдельно. Адреса уроков — на листе «Уроки».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36" customHeight="1">
      <x:c r="A11" s="20" t="str">
        <x:v>День</x:v>
      </x:c>
      <x:c r="B11" s="20" t="str">
        <x:v>Дата</x:v>
      </x:c>
      <x:c r="C11" s="20" t="str">
        <x:v>День недели</x:v>
      </x:c>
      <x:c r="D11" s="20" t="str">
        <x:v>Этап</x:v>
      </x:c>
      <x:c r="E11" s="20" t="str">
        <x:v>Урок / практикум</x:v>
      </x:c>
      <x:c r="F11" s="20" t="str">
        <x:v>План, ч</x:v>
      </x:c>
      <x:c r="G11" s="20" t="str">
        <x:v>Теория, ч</x:v>
      </x:c>
      <x:c r="H11" s="20" t="str">
        <x:v>Практика, ч</x:v>
      </x:c>
      <x:c r="I11" s="20" t="str">
        <x:v>Повтор, ч</x:v>
      </x:c>
      <x:c r="J11" s="20" t="str">
        <x:v>Факт, ч</x:v>
      </x:c>
      <x:c r="K11" s="20" t="str">
        <x:v>Статус</x:v>
      </x:c>
      <x:c r="L11" s="20" t="str">
        <x:v>Результат дня</x:v>
      </x:c>
      <x:c r="M11" s="20" t="str">
        <x:v>Самостоятельная работа</x:v>
      </x:c>
      <x:c r="N11" s="20" t="str">
        <x:v>Критерии готовности</x:v>
      </x:c>
      <x:c r="O11" s="20" t="str">
        <x:v>Ваши заметки</x:v>
      </x:c>
      <x:c r="P11" s="20" t="str">
        <x:v>Ручные часы</x:v>
      </x:c>
    </x:row>
    <x:row r="12" ht="100" customHeight="1">
      <x:c r="A12" s="2" t="n">
        <x:v>1</x:v>
      </x:c>
      <x:c r="B12" s="9" t="n">
        <x:f>$B$4+A12-1</x:f>
        <x:v>46328</x:v>
      </x:c>
      <x:c r="C12" s="2" t="str">
        <x:f>CHOOSE(WEEKDAY(B12,2),"пн","вт","ср","чт","пт","сб","вс")</x:f>
        <x:v>пн</x:v>
      </x:c>
      <x:c r="D12" s="13" t="str">
        <x:v>Python как инженерный инструмент</x:v>
      </x:c>
      <x:c r="E12" s="13" t="str">
        <x:v>Среда, диагностика и сквозной проект</x:v>
      </x:c>
      <x:c r="F12" s="11" t="n">
        <x:f>IF(ISNUMBER(P12),P12,IF(WEEKDAY(B12,2)&gt;5,$K$4,$H$4))</x:f>
        <x:v>7</x:v>
      </x:c>
      <x:c r="G12" s="11" t="n">
        <x:f>ROUND(F12*0.25,1)</x:f>
        <x:v>1.8</x:v>
      </x:c>
      <x:c r="H12" s="11" t="n">
        <x:f>ROUND(F12*0.55,1)</x:f>
        <x:v>3.9</x:v>
      </x:c>
      <x:c r="I12" s="11" t="n">
        <x:f>F12-G12-H12</x:f>
        <x:v>1.3000000000000003</x:v>
      </x:c>
      <x:c r="J12" s="15"/>
      <x:c r="K12" s="4" t="str">
        <x:v>Не начато</x:v>
      </x:c>
      <x:c r="L12" s="13" t="str">
        <x:v>README, изолированные окружения и карта исходных навыков</x:v>
      </x:c>
      <x:c r="M12" s="13" t="str">
        <x:v>Создайте репозиторий lab-platform с указанными каталогами, .gitignore и README. Выполните диагностическую задачу на 20 строках, включая ИНН с ведущим нулём, дубли, пустую дату и возврат.</x:v>
      </x:c>
      <x:c r="N12" s="13" t="str">
        <x:v>Другой человек запускает пример по README. Версии и окружения записаны; в Git нет .env и рабочих выгрузок. Есть минимум один проходящий тест и честная карта пробелов.</x:v>
      </x:c>
      <x:c r="O12" s="16"/>
      <x:c r="P12" s="15"/>
    </x:row>
    <x:row r="13" ht="100" customHeight="1">
      <x:c r="A13" s="2" t="n">
        <x:v>2</x:v>
      </x:c>
      <x:c r="B13" s="9" t="n">
        <x:f>$B$4+A13-1</x:f>
        <x:v>46329</x:v>
      </x:c>
      <x:c r="C13" s="2" t="str">
        <x:f>CHOOSE(WEEKDAY(B13,2),"пн","вт","ср","чт","пт","сб","вс")</x:f>
        <x:v>вт</x:v>
      </x:c>
      <x:c r="D13" s="13" t="str">
        <x:v>Python как инженерный инструмент</x:v>
      </x:c>
      <x:c r="E13" s="13" t="str">
        <x:v>Модель данных Python, итераторы и точные вычисления</x:v>
      </x:c>
      <x:c r="F13" s="11" t="n">
        <x:f>IF(ISNUMBER(P13),P13,IF(WEEKDAY(B13,2)&gt;5,$K$4,$H$4))</x:f>
        <x:v>7</x:v>
      </x:c>
      <x:c r="G13" s="11" t="n">
        <x:f>ROUND(F13*0.25,1)</x:f>
        <x:v>1.8</x:v>
      </x:c>
      <x:c r="H13" s="11" t="n">
        <x:f>ROUND(F13*0.55,1)</x:f>
        <x:v>3.9</x:v>
      </x:c>
      <x:c r="I13" s="11" t="n">
        <x:f>F13-G13-H13</x:f>
        <x:v>1.3000000000000003</x:v>
      </x:c>
      <x:c r="J13" s="15"/>
      <x:c r="K13" s="4" t="str">
        <x:v>Не начато</x:v>
      </x:c>
      <x:c r="L13" s="13" t="str">
        <x:v>Потоковое преобразование строк с явными правилами</x:v>
      </x:c>
      <x:c r="M13" s="13" t="str">
        <x:v>Добавьте поле operation: sale/return. Возврат должен менять знак суммы по утверждённому правилу, а количество во входе остаётся положительным. Напишите генератор чтения CSV и отдельный обработчик ошибок с ключом строки и причиной.</x:v>
      </x:c>
      <x:c r="N13" s="13" t="str">
        <x:v>Исходные строки не изменяются. Память ограничена пакетом, кроме явно описанных структур. Пустое поле, неверное число и возврат имеют предсказуемый результат.</x:v>
      </x:c>
      <x:c r="O13" s="16"/>
      <x:c r="P13" s="15"/>
    </x:row>
    <x:row r="14" ht="100" customHeight="1">
      <x:c r="A14" s="2" t="n">
        <x:v>3</x:v>
      </x:c>
      <x:c r="B14" s="9" t="n">
        <x:f>$B$4+A14-1</x:f>
        <x:v>46330</x:v>
      </x:c>
      <x:c r="C14" s="2" t="str">
        <x:f>CHOOSE(WEEKDAY(B14,2),"пн","вт","ср","чт","пт","сб","вс")</x:f>
        <x:v>ср</x:v>
      </x:c>
      <x:c r="D14" s="13" t="str">
        <x:v>Python как инженерный инструмент</x:v>
      </x:c>
      <x:c r="E14" s="13" t="str">
        <x:v>Типизация, контракты и тесты полезных свойств</x:v>
      </x:c>
      <x:c r="F14" s="11" t="n">
        <x:f>IF(ISNUMBER(P14),P14,IF(WEEKDAY(B14,2)&gt;5,$K$4,$H$4))</x:f>
        <x:v>7</x:v>
      </x:c>
      <x:c r="G14" s="11" t="n">
        <x:f>ROUND(F14*0.25,1)</x:f>
        <x:v>1.8</x:v>
      </x:c>
      <x:c r="H14" s="11" t="n">
        <x:f>ROUND(F14*0.55,1)</x:f>
        <x:v>3.9</x:v>
      </x:c>
      <x:c r="I14" s="11" t="n">
        <x:f>F14-G14-H14</x:f>
        <x:v>1.3000000000000003</x:v>
      </x:c>
      <x:c r="J14" s="15"/>
      <x:c r="K14" s="4" t="str">
        <x:v>Не начато</x:v>
      </x:c>
      <x:c r="L14" s="13" t="str">
        <x:v>Контракт записи продажи и набор тестов</x:v>
      </x:c>
      <x:c r="M14" s="13" t="str">
        <x:v>Опишите raw- и normalized-контракты с версией schema_version. Укажите обязательные и nullable-поля. Добавьте парсер даты и Decimal с понятными ошибками, не позволяющий провести неизвестную операцию.</x:v>
      </x:c>
      <x:c r="N14" s="13" t="str">
        <x:v>Проверяются валидные, граничные и ошибочные данные. Ошибки содержат ключ записи без паролей и чувствительных полей. Есть отдельная проверка реального ограничения уникальности в БД.</x:v>
      </x:c>
      <x:c r="O14" s="16"/>
      <x:c r="P14" s="15"/>
    </x:row>
    <x:row r="15" ht="100" customHeight="1">
      <x:c r="A15" s="2" t="n">
        <x:v>4</x:v>
      </x:c>
      <x:c r="B15" s="9" t="n">
        <x:f>$B$4+A15-1</x:f>
        <x:v>46331</x:v>
      </x:c>
      <x:c r="C15" s="2" t="str">
        <x:f>CHOOSE(WEEKDAY(B15,2),"пн","вт","ср","чт","пт","сб","вс")</x:f>
        <x:v>чт</x:v>
      </x:c>
      <x:c r="D15" s="13" t="str">
        <x:v>Python как инженерный инструмент</x:v>
      </x:c>
      <x:c r="E15" s="13" t="str">
        <x:v>asyncio, ресурсы, профилирование и границы сервиса</x:v>
      </x:c>
      <x:c r="F15" s="11" t="n">
        <x:f>IF(ISNUMBER(P15),P15,IF(WEEKDAY(B15,2)&gt;5,$K$4,$H$4))</x:f>
        <x:v>7</x:v>
      </x:c>
      <x:c r="G15" s="11" t="n">
        <x:f>ROUND(F15*0.25,1)</x:f>
        <x:v>1.8</x:v>
      </x:c>
      <x:c r="H15" s="11" t="n">
        <x:f>ROUND(F15*0.55,1)</x:f>
        <x:v>3.9</x:v>
      </x:c>
      <x:c r="I15" s="11" t="n">
        <x:f>F15-G15-H15</x:f>
        <x:v>1.3000000000000003</x:v>
      </x:c>
      <x:c r="J15" s="15"/>
      <x:c r="K15" s="4" t="str">
        <x:v>Не начато</x:v>
      </x:c>
      <x:c r="L15" s="13" t="str">
        <x:v>Ограниченный конкурентный загрузчик и схема зависимостей</x:v>
      </x:c>
      <x:c r="M15" s="13" t="str">
        <x:v>Добавьте сбой на одной странице и убедитесь, что результат не объявляется полным. Замените имитацию на учебный HTTP-адаптер с timeout и лимитом соединений.</x:v>
      </x:c>
      <x:c r="N15" s="13" t="str">
        <x:v>Активных запросов не больше установленного лимита. Ресурсы закрываются при успехе, ошибке и отмене. Оптимизация сравнивается на одинаковых данных.</x:v>
      </x:c>
      <x:c r="O15" s="16"/>
      <x:c r="P15" s="15"/>
    </x:row>
    <x:row r="16" ht="100" customHeight="1">
      <x:c r="A16" s="8" t="n">
        <x:v>5</x:v>
      </x:c>
      <x:c r="B16" s="10" t="n">
        <x:f>$B$4+A16-1</x:f>
        <x:v>46332</x:v>
      </x:c>
      <x:c r="C16" s="8" t="str">
        <x:f>CHOOSE(WEEKDAY(B16,2),"пн","вт","ср","чт","пт","сб","вс")</x:f>
        <x:v>пт</x:v>
      </x:c>
      <x:c r="D16" s="14" t="str">
        <x:v>Python как инженерный инструмент</x:v>
      </x:c>
      <x:c r="E16" s="14" t="str">
        <x:v>Практикум и проверка этапа: Python как инженерный инструмент</x:v>
      </x:c>
      <x:c r="F16" s="12" t="n">
        <x:f>IF(ISNUMBER(P16),P16,IF(WEEKDAY(B16,2)&gt;5,$K$4,$H$4))</x:f>
        <x:v>7</x:v>
      </x:c>
      <x:c r="G16" s="12" t="n">
        <x:f>ROUND(F16*0.25,1)</x:f>
        <x:v>1.8</x:v>
      </x:c>
      <x:c r="H16" s="12" t="n">
        <x:f>ROUND(F16*0.55,1)</x:f>
        <x:v>3.9</x:v>
      </x:c>
      <x:c r="I16" s="12" t="n">
        <x:f>F16-G16-H16</x:f>
        <x:v>1.3000000000000003</x:v>
      </x:c>
      <x:c r="J16" s="15"/>
      <x:c r="K16" s="4" t="str">
        <x:v>Не начато</x:v>
      </x:c>
      <x:c r="L16" s="14" t="str">
        <x:v>Репозиторий, lock-файл, тесты, схема слоёв</x:v>
      </x:c>
      <x:c r="M16" s="14" t="str">
        <x:v>Соберите CLI загрузки, проверьте неверные записи и объясните границы модулей. Другой человек должен запустить проект по README.</x:v>
      </x:c>
      <x:c r="N16" s="14" t="str">
        <x:v>Соберите CLI загрузки, проверьте неверные записи и объясните границы модулей. Другой человек должен запустить проект по README.</x:v>
      </x:c>
      <x:c r="O16" s="16"/>
      <x:c r="P16" s="15"/>
    </x:row>
    <x:row r="17" ht="100" customHeight="1">
      <x:c r="A17" s="2" t="n">
        <x:v>6</x:v>
      </x:c>
      <x:c r="B17" s="9" t="n">
        <x:f>$B$4+A17-1</x:f>
        <x:v>46333</x:v>
      </x:c>
      <x:c r="C17" s="2" t="str">
        <x:f>CHOOSE(WEEKDAY(B17,2),"пн","вт","ср","чт","пт","сб","вс")</x:f>
        <x:v>сб</x:v>
      </x:c>
      <x:c r="D17" s="13" t="str">
        <x:v>pandas, Polars и SQLAlchemy</x:v>
      </x:c>
      <x:c r="E17" s="13" t="str">
        <x:v>pandas: типы, пропуски и качество данных</x:v>
      </x:c>
      <x:c r="F17" s="11" t="n">
        <x:f>IF(ISNUMBER(P17),P17,IF(WEEKDAY(B17,2)&gt;5,$K$4,$H$4))</x:f>
        <x:v>4</x:v>
      </x:c>
      <x:c r="G17" s="11" t="n">
        <x:f>ROUND(F17*0.25,1)</x:f>
        <x:v>1</x:v>
      </x:c>
      <x:c r="H17" s="11" t="n">
        <x:f>ROUND(F17*0.55,1)</x:f>
        <x:v>2.2</x:v>
      </x:c>
      <x:c r="I17" s="11" t="n">
        <x:f>F17-G17-H17</x:f>
        <x:v>0.7999999999999998</x:v>
      </x:c>
      <x:c r="J17" s="15"/>
      <x:c r="K17" s="4" t="str">
        <x:v>Не начато</x:v>
      </x:c>
      <x:c r="L17" s="13" t="str">
        <x:v>Нормализованный DataFrame и отчёт отклонений</x:v>
      </x:c>
      <x:c r="M17" s="13" t="str">
        <x:v>Прочитайте sample/sales.csv из лабораторного комплекта и задайте типы ключей. Добавьте правила обязательности организации, допустимой валюты и целочисленного количества, если этого требует товар.</x:v>
      </x:c>
      <x:c r="N17" s="13" t="str">
        <x:v>Ведущие нули сохранены. Ни одна строка не исчезла без объяснения. Пропуски и реальные нули различаются.</x:v>
      </x:c>
      <x:c r="O17" s="16"/>
      <x:c r="P17" s="15"/>
    </x:row>
    <x:row r="18" ht="100" customHeight="1">
      <x:c r="A18" s="2" t="n">
        <x:v>7</x:v>
      </x:c>
      <x:c r="B18" s="9" t="n">
        <x:f>$B$4+A18-1</x:f>
        <x:v>46334</x:v>
      </x:c>
      <x:c r="C18" s="2" t="str">
        <x:f>CHOOSE(WEEKDAY(B18,2),"пн","вт","ср","чт","пт","сб","вс")</x:f>
        <x:v>вс</x:v>
      </x:c>
      <x:c r="D18" s="13" t="str">
        <x:v>pandas, Polars и SQLAlchemy</x:v>
      </x:c>
      <x:c r="E18" s="13" t="str">
        <x:v>pandas: JOIN, агрегации, окна и время</x:v>
      </x:c>
      <x:c r="F18" s="11" t="n">
        <x:f>IF(ISNUMBER(P18),P18,IF(WEEKDAY(B18,2)&gt;5,$K$4,$H$4))</x:f>
        <x:v>4</x:v>
      </x:c>
      <x:c r="G18" s="11" t="n">
        <x:f>ROUND(F18*0.25,1)</x:f>
        <x:v>1</x:v>
      </x:c>
      <x:c r="H18" s="11" t="n">
        <x:f>ROUND(F18*0.55,1)</x:f>
        <x:v>2.2</x:v>
      </x:c>
      <x:c r="I18" s="11" t="n">
        <x:f>F18-G18-H18</x:f>
        <x:v>0.7999999999999998</x:v>
      </x:c>
      <x:c r="J18" s="15"/>
      <x:c r="K18" s="4" t="str">
        <x:v>Не начато</x:v>
      </x:c>
      <x:c r="L18" s="13" t="str">
        <x:v>Выручка по дням и клиентам с контролем кардинальности</x:v>
      </x:c>
      <x:c r="M18" s="13" t="str">
        <x:v>Добавьте неизвестного клиента и определите правило: технический Unknown либо quarantine с последующим дозаполнением. Постройте выручку по дням, накопительный итог и долю организации без деления на ноль.</x:v>
      </x:c>
      <x:c r="N18" s="13" t="str">
        <x:v>JOIN не увеличивает исходное число строк при связи many_to_one. Неизвестные ключи обработаны явно. Календарное окно и окно по строкам не смешаны.</x:v>
      </x:c>
      <x:c r="O18" s="16"/>
      <x:c r="P18" s="15"/>
    </x:row>
    <x:row r="19" ht="100" customHeight="1">
      <x:c r="A19" s="2" t="n">
        <x:v>8</x:v>
      </x:c>
      <x:c r="B19" s="9" t="n">
        <x:f>$B$4+A19-1</x:f>
        <x:v>46335</x:v>
      </x:c>
      <x:c r="C19" s="2" t="str">
        <x:f>CHOOSE(WEEKDAY(B19,2),"пн","вт","ср","чт","пт","сб","вс")</x:f>
        <x:v>пн</x:v>
      </x:c>
      <x:c r="D19" s="13" t="str">
        <x:v>pandas, Polars и SQLAlchemy</x:v>
      </x:c>
      <x:c r="E19" s="13" t="str">
        <x:v>Polars: выражения, LazyFrame и измерение производительности</x:v>
      </x:c>
      <x:c r="F19" s="11" t="n">
        <x:f>IF(ISNUMBER(P19),P19,IF(WEEKDAY(B19,2)&gt;5,$K$4,$H$4))</x:f>
        <x:v>7</x:v>
      </x:c>
      <x:c r="G19" s="11" t="n">
        <x:f>ROUND(F19*0.25,1)</x:f>
        <x:v>1.8</x:v>
      </x:c>
      <x:c r="H19" s="11" t="n">
        <x:f>ROUND(F19*0.55,1)</x:f>
        <x:v>3.9</x:v>
      </x:c>
      <x:c r="I19" s="11" t="n">
        <x:f>F19-G19-H19</x:f>
        <x:v>1.3000000000000003</x:v>
      </x:c>
      <x:c r="J19" s="15"/>
      <x:c r="K19" s="4" t="str">
        <x:v>Не начато</x:v>
      </x:c>
      <x:c r="L19" s="13" t="str">
        <x:v>Lazy-пайплайн с объяснённым планом выполнения</x:v>
      </x:c>
      <x:c r="M19" s="13" t="str">
        <x:v>Перепишите преобразование из предыдущего урока с проверками null и типов. Сгенерируйте 100 тысяч и миллион строк; сравните pandas и Polars на Parquet.</x:v>
      </x:c>
      <x:c r="N19" s="13" t="str">
        <x:v>Результаты двух реализаций совпадают. План объяснён словами, включая место фильтра. Выбор движка опирается на измеренную задачу.</x:v>
      </x:c>
      <x:c r="O19" s="16"/>
      <x:c r="P19" s="15"/>
    </x:row>
    <x:row r="20" ht="100" customHeight="1">
      <x:c r="A20" s="2" t="n">
        <x:v>9</x:v>
      </x:c>
      <x:c r="B20" s="9" t="n">
        <x:f>$B$4+A20-1</x:f>
        <x:v>46336</x:v>
      </x:c>
      <x:c r="C20" s="2" t="str">
        <x:f>CHOOSE(WEEKDAY(B20,2),"пн","вт","ср","чт","пт","сб","вс")</x:f>
        <x:v>вт</x:v>
      </x:c>
      <x:c r="D20" s="13" t="str">
        <x:v>pandas, Polars и SQLAlchemy</x:v>
      </x:c>
      <x:c r="E20" s="13" t="str">
        <x:v>SQLAlchemy: транзакции, пакетная запись и ORM</x:v>
      </x:c>
      <x:c r="F20" s="11" t="n">
        <x:f>IF(ISNUMBER(P20),P20,IF(WEEKDAY(B20,2)&gt;5,$K$4,$H$4))</x:f>
        <x:v>7</x:v>
      </x:c>
      <x:c r="G20" s="11" t="n">
        <x:f>ROUND(F20*0.25,1)</x:f>
        <x:v>1.8</x:v>
      </x:c>
      <x:c r="H20" s="11" t="n">
        <x:f>ROUND(F20*0.55,1)</x:f>
        <x:v>3.9</x:v>
      </x:c>
      <x:c r="I20" s="11" t="n">
        <x:f>F20-G20-H20</x:f>
        <x:v>1.3000000000000003</x:v>
      </x:c>
      <x:c r="J20" s="15"/>
      <x:c r="K20" s="4" t="str">
        <x:v>Не начато</x:v>
      </x:c>
      <x:c r="L20" s="13" t="str">
        <x:v>Повторяемая загрузка с уникальным ключом</x:v>
      </x:c>
      <x:c r="M20" s="13" t="str">
        <x:v>Перенесите пример в PostgreSQL с ключом (source, document_id, line_no). Добавьте batch_id, loaded_at и source_version, а checkpoint храните в той же транзакции.</x:v>
      </x:c>
      <x:c r="N20" s="13" t="str">
        <x:v>Две загрузки не удваивают строки. Есть проверенный rollback и уникальное ограничение. Версия события учитывается при обновлении.</x:v>
      </x:c>
      <x:c r="O20" s="16"/>
      <x:c r="P20" s="15"/>
    </x:row>
    <x:row r="21" ht="100" customHeight="1">
      <x:c r="A21" s="8" t="n">
        <x:v>10</x:v>
      </x:c>
      <x:c r="B21" s="10" t="n">
        <x:f>$B$4+A21-1</x:f>
        <x:v>46337</x:v>
      </x:c>
      <x:c r="C21" s="8" t="str">
        <x:f>CHOOSE(WEEKDAY(B21,2),"пн","вт","ср","чт","пт","сб","вс")</x:f>
        <x:v>ср</x:v>
      </x:c>
      <x:c r="D21" s="14" t="str">
        <x:v>pandas, Polars и SQLAlchemy</x:v>
      </x:c>
      <x:c r="E21" s="14" t="str">
        <x:v>Практикум и проверка этапа: pandas, Polars и SQLAlchemy</x:v>
      </x:c>
      <x:c r="F21" s="12" t="n">
        <x:f>IF(ISNUMBER(P21),P21,IF(WEEKDAY(B21,2)&gt;5,$K$4,$H$4))</x:f>
        <x:v>7</x:v>
      </x:c>
      <x:c r="G21" s="12" t="n">
        <x:f>ROUND(F21*0.25,1)</x:f>
        <x:v>1.8</x:v>
      </x:c>
      <x:c r="H21" s="12" t="n">
        <x:f>ROUND(F21*0.55,1)</x:f>
        <x:v>3.9</x:v>
      </x:c>
      <x:c r="I21" s="12" t="n">
        <x:f>F21-G21-H21</x:f>
        <x:v>1.3000000000000003</x:v>
      </x:c>
      <x:c r="J21" s="15"/>
      <x:c r="K21" s="4" t="str">
        <x:v>Не начато</x:v>
      </x:c>
      <x:c r="L21" s="14" t="str">
        <x:v>Два преобразования, бенчмарк, идемпотентная загрузка</x:v>
      </x:c>
      <x:c r="M21" s="14" t="str">
        <x:v>Обработайте одинаковый набор в pandas и Polars, сравните результат и память. Запишите данные в транзакции и повторите загрузку.</x:v>
      </x:c>
      <x:c r="N21" s="14" t="str">
        <x:v>Обработайте одинаковый набор в pandas и Polars, сравните результат и память. Запишите данные в транзакции и повторите загрузку.</x:v>
      </x:c>
      <x:c r="O21" s="16"/>
      <x:c r="P21" s="15"/>
    </x:row>
    <x:row r="22" ht="100" customHeight="1">
      <x:c r="A22" s="2" t="n">
        <x:v>11</x:v>
      </x:c>
      <x:c r="B22" s="9" t="n">
        <x:f>$B$4+A22-1</x:f>
        <x:v>46338</x:v>
      </x:c>
      <x:c r="C22" s="2" t="str">
        <x:f>CHOOSE(WEEKDAY(B22,2),"пн","вт","ср","чт","пт","сб","вс")</x:f>
        <x:v>чт</x:v>
      </x:c>
      <x:c r="D22" s="13" t="str">
        <x:v>Экспертный SQL</x:v>
      </x:c>
      <x:c r="E22" s="13" t="str">
        <x:v>SQL: зерно, JOIN, NULL и корректные агрегаты</x:v>
      </x:c>
      <x:c r="F22" s="11" t="n">
        <x:f>IF(ISNUMBER(P22),P22,IF(WEEKDAY(B22,2)&gt;5,$K$4,$H$4))</x:f>
        <x:v>7</x:v>
      </x:c>
      <x:c r="G22" s="11" t="n">
        <x:f>ROUND(F22*0.25,1)</x:f>
        <x:v>1.8</x:v>
      </x:c>
      <x:c r="H22" s="11" t="n">
        <x:f>ROUND(F22*0.55,1)</x:f>
        <x:v>3.9</x:v>
      </x:c>
      <x:c r="I22" s="11" t="n">
        <x:f>F22-G22-H22</x:f>
        <x:v>1.3000000000000003</x:v>
      </x:c>
      <x:c r="J22" s="15"/>
      <x:c r="K22" s="4" t="str">
        <x:v>Не начато</x:v>
      </x:c>
      <x:c r="L22" s="13" t="str">
        <x:v>SQL-сверка с защитой от двойного счёта</x:v>
      </x:c>
      <x:c r="M22" s="13" t="str">
        <x:v>Сделайте прямой JOIN исходных sales и payments и объясните полученные 300 вместо 150 по клиенту 1. Напишите NOT EXISTS для клиентов без продаж, добавьте NULL в контрольный набор.</x:v>
      </x:c>
      <x:c r="N22" s="13" t="str">
        <x:v>Зерно каждого CTE явно определено. Возвраты, NULL и отсутствие совпадения проверены. Итоги сверены с независимой агрегацией фактов.</x:v>
      </x:c>
      <x:c r="O22" s="16"/>
      <x:c r="P22" s="15"/>
    </x:row>
    <x:row r="23" ht="100" customHeight="1">
      <x:c r="A23" s="2" t="n">
        <x:v>12</x:v>
      </x:c>
      <x:c r="B23" s="9" t="n">
        <x:f>$B$4+A23-1</x:f>
        <x:v>46339</x:v>
      </x:c>
      <x:c r="C23" s="2" t="str">
        <x:f>CHOOSE(WEEKDAY(B23,2),"пн","вт","ср","чт","пт","сб","вс")</x:f>
        <x:v>пт</x:v>
      </x:c>
      <x:c r="D23" s="13" t="str">
        <x:v>Экспертный SQL</x:v>
      </x:c>
      <x:c r="E23" s="13" t="str">
        <x:v>Оконные функции: ранги, накопления и последовательности</x:v>
      </x:c>
      <x:c r="F23" s="11" t="n">
        <x:f>IF(ISNUMBER(P23),P23,IF(WEEKDAY(B23,2)&gt;5,$K$4,$H$4))</x:f>
        <x:v>7</x:v>
      </x:c>
      <x:c r="G23" s="11" t="n">
        <x:f>ROUND(F23*0.25,1)</x:f>
        <x:v>1.8</x:v>
      </x:c>
      <x:c r="H23" s="11" t="n">
        <x:f>ROUND(F23*0.55,1)</x:f>
        <x:v>3.9</x:v>
      </x:c>
      <x:c r="I23" s="11" t="n">
        <x:f>F23-G23-H23</x:f>
        <x:v>1.3000000000000003</x:v>
      </x:c>
      <x:c r="J23" s="15"/>
      <x:c r="K23" s="4" t="str">
        <x:v>Не начато</x:v>
      </x:c>
      <x:c r="L23" s="13" t="str">
        <x:v>Набор запросов с устойчивым порядком и явной рамкой</x:v>
      </x:c>
      <x:c r="M23" s="13" t="str">
        <x:v>Выберите последнюю версию документа из нескольких source_version. Посчитайте top-3 товаров по выручке в каждой организации и отдельно объясните поведение при равенстве.</x:v>
      </x:c>
      <x:c r="N23" s="13" t="str">
        <x:v>Везде есть определённый порядок. Выбранная рамка соответствует бизнес-вопросу. Равенства, NULL и пропущенные дни проверены.</x:v>
      </x:c>
      <x:c r="O23" s="16"/>
      <x:c r="P23" s="15"/>
    </x:row>
    <x:row r="24" ht="100" customHeight="1">
      <x:c r="A24" s="2" t="n">
        <x:v>13</x:v>
      </x:c>
      <x:c r="B24" s="9" t="n">
        <x:f>$B$4+A24-1</x:f>
        <x:v>46340</x:v>
      </x:c>
      <x:c r="C24" s="2" t="str">
        <x:f>CHOOSE(WEEKDAY(B24,2),"пн","вт","ср","чт","пт","сб","вс")</x:f>
        <x:v>сб</x:v>
      </x:c>
      <x:c r="D24" s="13" t="str">
        <x:v>Экспертный SQL</x:v>
      </x:c>
      <x:c r="E24" s="13" t="str">
        <x:v>EXPLAIN, индексы и стоимость запроса</x:v>
      </x:c>
      <x:c r="F24" s="11" t="n">
        <x:f>IF(ISNUMBER(P24),P24,IF(WEEKDAY(B24,2)&gt;5,$K$4,$H$4))</x:f>
        <x:v>4</x:v>
      </x:c>
      <x:c r="G24" s="11" t="n">
        <x:f>ROUND(F24*0.25,1)</x:f>
        <x:v>1</x:v>
      </x:c>
      <x:c r="H24" s="11" t="n">
        <x:f>ROUND(F24*0.55,1)</x:f>
        <x:v>2.2</x:v>
      </x:c>
      <x:c r="I24" s="11" t="n">
        <x:f>F24-G24-H24</x:f>
        <x:v>0.7999999999999998</x:v>
      </x:c>
      <x:c r="J24" s="15"/>
      <x:c r="K24" s="4" t="str">
        <x:v>Не начато</x:v>
      </x:c>
      <x:c r="L24" s="13" t="str">
        <x:v>План до и после оптимизации с проверкой результата</x:v>
      </x:c>
      <x:c r="M24" s="13" t="str">
        <x:v>Сравните фильтр по дате с date(occurred_at) и с диапазоном timestamp. Добавьте запрос на 90% таблицы и объясните отказ от индекса, если он произойдёт.</x:v>
      </x:c>
      <x:c r="N24" s="13" t="str">
        <x:v>Есть actual rows, loops и buffers. Результат запроса совпадает до и после изменения. Описаны цена индекса и границы применимости.</x:v>
      </x:c>
      <x:c r="O24" s="16"/>
      <x:c r="P24" s="15"/>
    </x:row>
    <x:row r="25" ht="100" customHeight="1">
      <x:c r="A25" s="2" t="n">
        <x:v>14</x:v>
      </x:c>
      <x:c r="B25" s="9" t="n">
        <x:f>$B$4+A25-1</x:f>
        <x:v>46341</x:v>
      </x:c>
      <x:c r="C25" s="2" t="str">
        <x:f>CHOOSE(WEEKDAY(B25,2),"пн","вт","ср","чт","пт","сб","вс")</x:f>
        <x:v>вс</x:v>
      </x:c>
      <x:c r="D25" s="13" t="str">
        <x:v>Экспертный SQL</x:v>
      </x:c>
      <x:c r="E25" s="13" t="str">
        <x:v>Изоляция, блокировки, upsert и гонки</x:v>
      </x:c>
      <x:c r="F25" s="11" t="n">
        <x:f>IF(ISNUMBER(P25),P25,IF(WEEKDAY(B25,2)&gt;5,$K$4,$H$4))</x:f>
        <x:v>4</x:v>
      </x:c>
      <x:c r="G25" s="11" t="n">
        <x:f>ROUND(F25*0.25,1)</x:f>
        <x:v>1</x:v>
      </x:c>
      <x:c r="H25" s="11" t="n">
        <x:f>ROUND(F25*0.55,1)</x:f>
        <x:v>2.2</x:v>
      </x:c>
      <x:c r="I25" s="11" t="n">
        <x:f>F25-G25-H25</x:f>
        <x:v>0.7999999999999998</x:v>
      </x:c>
      <x:c r="J25" s="15"/>
      <x:c r="K25" s="4" t="str">
        <x:v>Не начато</x:v>
      </x:c>
      <x:c r="L25" s="13" t="str">
        <x:v>Воспроизведённая гонка и транзакционное исправление</x:v>
      </x:c>
      <x:c r="M25" s="13" t="str">
        <x:v>Сначала воспроизведите потерю обновления через SELECT и присваивание готового числа. Повторите исправленный вариант в двух сессиях и сохраните последовательность команд.</x:v>
      </x:c>
      <x:c r="N25" s="13" t="str">
        <x:v>Параллельные изменения дают правильный итог. Повтор события не меняет итог второй раз. Описаны timeout блокировки, retry и наблюдаемость конфликта.</x:v>
      </x:c>
      <x:c r="O25" s="16"/>
      <x:c r="P25" s="15"/>
    </x:row>
    <x:row r="26" ht="100" customHeight="1">
      <x:c r="A26" s="8" t="n">
        <x:v>15</x:v>
      </x:c>
      <x:c r="B26" s="10" t="n">
        <x:f>$B$4+A26-1</x:f>
        <x:v>46342</x:v>
      </x:c>
      <x:c r="C26" s="8" t="str">
        <x:f>CHOOSE(WEEKDAY(B26,2),"пн","вт","ср","чт","пт","сб","вс")</x:f>
        <x:v>пн</x:v>
      </x:c>
      <x:c r="D26" s="14" t="str">
        <x:v>Экспертный SQL</x:v>
      </x:c>
      <x:c r="E26" s="14" t="str">
        <x:v>Практикум и проверка этапа: Экспертный SQL</x:v>
      </x:c>
      <x:c r="F26" s="12" t="n">
        <x:f>IF(ISNUMBER(P26),P26,IF(WEEKDAY(B26,2)&gt;5,$K$4,$H$4))</x:f>
        <x:v>7</x:v>
      </x:c>
      <x:c r="G26" s="12" t="n">
        <x:f>ROUND(F26*0.25,1)</x:f>
        <x:v>1.8</x:v>
      </x:c>
      <x:c r="H26" s="12" t="n">
        <x:f>ROUND(F26*0.55,1)</x:f>
        <x:v>3.9</x:v>
      </x:c>
      <x:c r="I26" s="12" t="n">
        <x:f>F26-G26-H26</x:f>
        <x:v>1.3000000000000003</x:v>
      </x:c>
      <x:c r="J26" s="15"/>
      <x:c r="K26" s="4" t="str">
        <x:v>Не начато</x:v>
      </x:c>
      <x:c r="L26" s="14" t="str">
        <x:v>SQL-скрипты, контрольные итоги, планы запросов</x:v>
      </x:c>
      <x:c r="M26" s="14" t="str">
        <x:v>Решите задачи на окна и антисоединение без подсказок. Сравните EXPLAIN до и после индекса, воспроизведите гонку в двух сессиях.</x:v>
      </x:c>
      <x:c r="N26" s="14" t="str">
        <x:v>Решите задачи на окна и антисоединение без подсказок. Сравните EXPLAIN до и после индекса, воспроизведите гонку в двух сессиях.</x:v>
      </x:c>
      <x:c r="O26" s="16"/>
      <x:c r="P26" s="15"/>
    </x:row>
    <x:row r="27" ht="100" customHeight="1">
      <x:c r="A27" s="2" t="n">
        <x:v>16</x:v>
      </x:c>
      <x:c r="B27" s="9" t="n">
        <x:f>$B$4+A27-1</x:f>
        <x:v>46343</x:v>
      </x:c>
      <x:c r="C27" s="2" t="str">
        <x:f>CHOOSE(WEEKDAY(B27,2),"пн","вт","ср","чт","пт","сб","вс")</x:f>
        <x:v>вт</x:v>
      </x:c>
      <x:c r="D27" s="13" t="str">
        <x:v>DWH и моделирование данных</x:v>
      </x:c>
      <x:c r="E27" s="13" t="str">
        <x:v>DWH: слои, происхождение и договорённости о данных</x:v>
      </x:c>
      <x:c r="F27" s="11" t="n">
        <x:f>IF(ISNUMBER(P27),P27,IF(WEEKDAY(B27,2)&gt;5,$K$4,$H$4))</x:f>
        <x:v>7</x:v>
      </x:c>
      <x:c r="G27" s="11" t="n">
        <x:f>ROUND(F27*0.25,1)</x:f>
        <x:v>1.8</x:v>
      </x:c>
      <x:c r="H27" s="11" t="n">
        <x:f>ROUND(F27*0.55,1)</x:f>
        <x:v>3.9</x:v>
      </x:c>
      <x:c r="I27" s="11" t="n">
        <x:f>F27-G27-H27</x:f>
        <x:v>1.3000000000000003</x:v>
      </x:c>
      <x:c r="J27" s="15"/>
      <x:c r="K27" s="4" t="str">
        <x:v>Не начато</x:v>
      </x:c>
      <x:c r="L27" s="13" t="str">
        <x:v>Архитектурная схема raw → staging → core → mart</x:v>
      </x:c>
      <x:c r="M27" s="13" t="str">
        <x:v>Нарисуйте источники УТ/УНФ/Бухгалтерии, потребителей API/BI/ML и четыре ответственности обработки. Создайте договорённости для sales_lines, customers и stock_snapshot.</x:v>
      </x:c>
      <x:c r="N27" s="13" t="str">
        <x:v>Каждый слой имеет объяснимую задачу. У набора есть владелец, ключ, единицы и срок обновления. Показана трассировка итоговой суммы.</x:v>
      </x:c>
      <x:c r="O27" s="16"/>
      <x:c r="P27" s="15"/>
    </x:row>
    <x:row r="28" ht="100" customHeight="1">
      <x:c r="A28" s="2" t="n">
        <x:v>17</x:v>
      </x:c>
      <x:c r="B28" s="9" t="n">
        <x:f>$B$4+A28-1</x:f>
        <x:v>46344</x:v>
      </x:c>
      <x:c r="C28" s="2" t="str">
        <x:f>CHOOSE(WEEKDAY(B28,2),"пн","вт","ср","чт","пт","сб","вс")</x:f>
        <x:v>ср</x:v>
      </x:c>
      <x:c r="D28" s="13" t="str">
        <x:v>DWH и моделирование данных</x:v>
      </x:c>
      <x:c r="E28" s="13" t="str">
        <x:v>Звезда, снежинка и типы фактов</x:v>
      </x:c>
      <x:c r="F28" s="11" t="n">
        <x:f>IF(ISNUMBER(P28),P28,IF(WEEKDAY(B28,2)&gt;5,$K$4,$H$4))</x:f>
        <x:v>7</x:v>
      </x:c>
      <x:c r="G28" s="11" t="n">
        <x:f>ROUND(F28*0.25,1)</x:f>
        <x:v>1.8</x:v>
      </x:c>
      <x:c r="H28" s="11" t="n">
        <x:f>ROUND(F28*0.55,1)</x:f>
        <x:v>3.9</x:v>
      </x:c>
      <x:c r="I28" s="11" t="n">
        <x:f>F28-G28-H28</x:f>
        <x:v>1.3000000000000003</x:v>
      </x:c>
      <x:c r="J28" s="15"/>
      <x:c r="K28" s="4" t="str">
        <x:v>Не начато</x:v>
      </x:c>
      <x:c r="L28" s="13" t="str">
        <x:v>ER-модель продаж и остатков</x:v>
      </x:c>
      <x:c r="M28" s="13" t="str">
        <x:v>Нарисуйте звезду с date, org, warehouse, customer, product и sales_line. Добавьте fact_stock_snapshot отдельно и сформулируйте запрос остатка на конец месяца.</x:v>
      </x:c>
      <x:c r="N28" s="13" t="str">
        <x:v>Зерно записано у каждой таблицы фактов. Нет прямого JOIN двух детальных фактов. Проценты и остатки агрегируются по правильным правилам.</x:v>
      </x:c>
      <x:c r="O28" s="16"/>
      <x:c r="P28" s="15"/>
    </x:row>
    <x:row r="29" ht="100" customHeight="1">
      <x:c r="A29" s="2" t="n">
        <x:v>18</x:v>
      </x:c>
      <x:c r="B29" s="9" t="n">
        <x:f>$B$4+A29-1</x:f>
        <x:v>46345</x:v>
      </x:c>
      <x:c r="C29" s="2" t="str">
        <x:f>CHOOSE(WEEKDAY(B29,2),"пн","вт","ср","чт","пт","сб","вс")</x:f>
        <x:v>чт</x:v>
      </x:c>
      <x:c r="D29" s="13" t="str">
        <x:v>DWH и моделирование данных</x:v>
      </x:c>
      <x:c r="E29" s="13" t="str">
        <x:v>SCD2, поздние справочники и история</x:v>
      </x:c>
      <x:c r="F29" s="11" t="n">
        <x:f>IF(ISNUMBER(P29),P29,IF(WEEKDAY(B29,2)&gt;5,$K$4,$H$4))</x:f>
        <x:v>7</x:v>
      </x:c>
      <x:c r="G29" s="11" t="n">
        <x:f>ROUND(F29*0.25,1)</x:f>
        <x:v>1.8</x:v>
      </x:c>
      <x:c r="H29" s="11" t="n">
        <x:f>ROUND(F29*0.55,1)</x:f>
        <x:v>3.9</x:v>
      </x:c>
      <x:c r="I29" s="11" t="n">
        <x:f>F29-G29-H29</x:f>
        <x:v>1.3000000000000003</x:v>
      </x:c>
      <x:c r="J29" s="15"/>
      <x:c r="K29" s="4" t="str">
        <x:v>Не начато</x:v>
      </x:c>
      <x:c r="L29" s="13" t="str">
        <x:v>Версионное измерение с непересекающимися интервалами</x:v>
      </x:c>
      <x:c r="M29" s="13" t="str">
        <x:v>Реализуйте закрытие и добавление версии в транзакции. Напишите тесты отсутствия перекрытий и наличия не более одной текущей версии.</x:v>
      </x:c>
      <x:c r="N29" s="13" t="str">
        <x:v>На любой момент не более одной версии клиента. Проверены границы и поздние изменения. Сумма продаж не меняется из-за исторического JOIN.</x:v>
      </x:c>
      <x:c r="O29" s="16"/>
      <x:c r="P29" s="15"/>
    </x:row>
    <x:row r="30" ht="100" customHeight="1">
      <x:c r="A30" s="2" t="n">
        <x:v>19</x:v>
      </x:c>
      <x:c r="B30" s="9" t="n">
        <x:f>$B$4+A30-1</x:f>
        <x:v>46346</x:v>
      </x:c>
      <x:c r="C30" s="2" t="str">
        <x:f>CHOOSE(WEEKDAY(B30,2),"пн","вт","ср","чт","пт","сб","вс")</x:f>
        <x:v>пт</x:v>
      </x:c>
      <x:c r="D30" s="13" t="str">
        <x:v>DWH и моделирование данных</x:v>
      </x:c>
      <x:c r="E30" s="13" t="str">
        <x:v>Инкременты, пересчёт витрин и сверка</x:v>
      </x:c>
      <x:c r="F30" s="11" t="n">
        <x:f>IF(ISNUMBER(P30),P30,IF(WEEKDAY(B30,2)&gt;5,$K$4,$H$4))</x:f>
        <x:v>7</x:v>
      </x:c>
      <x:c r="G30" s="11" t="n">
        <x:f>ROUND(F30*0.25,1)</x:f>
        <x:v>1.8</x:v>
      </x:c>
      <x:c r="H30" s="11" t="n">
        <x:f>ROUND(F30*0.55,1)</x:f>
        <x:v>3.9</x:v>
      </x:c>
      <x:c r="I30" s="11" t="n">
        <x:f>F30-G30-H30</x:f>
        <x:v>1.3000000000000003</x:v>
      </x:c>
      <x:c r="J30" s="15"/>
      <x:c r="K30" s="4" t="str">
        <x:v>Не начато</x:v>
      </x:c>
      <x:c r="L30" s="13" t="str">
        <x:v>Алгоритм загрузки и таблица контрольных итогов</x:v>
      </x:c>
      <x:c r="M30" s="13" t="str">
        <x:v>Примените продажу, возврат, исправление даты и отмену проведения. Повторите тот же пакет дважды, затем доставьте старую версию после новой.</x:v>
      </x:c>
      <x:c r="N30" s="13" t="str">
        <x:v>Поздние изменения не теряются. Повторы и старые версии не искажают итог. Публикация неполного результата запрещена явной проверкой.</x:v>
      </x:c>
      <x:c r="O30" s="16"/>
      <x:c r="P30" s="15"/>
    </x:row>
    <x:row r="31" ht="100" customHeight="1">
      <x:c r="A31" s="8" t="n">
        <x:v>20</x:v>
      </x:c>
      <x:c r="B31" s="10" t="n">
        <x:f>$B$4+A31-1</x:f>
        <x:v>46347</x:v>
      </x:c>
      <x:c r="C31" s="8" t="str">
        <x:f>CHOOSE(WEEKDAY(B31,2),"пн","вт","ср","чт","пт","сб","вс")</x:f>
        <x:v>сб</x:v>
      </x:c>
      <x:c r="D31" s="14" t="str">
        <x:v>DWH и моделирование данных</x:v>
      </x:c>
      <x:c r="E31" s="14" t="str">
        <x:v>Практикум и проверка этапа: DWH и моделирование данных</x:v>
      </x:c>
      <x:c r="F31" s="12" t="n">
        <x:f>IF(ISNUMBER(P31),P31,IF(WEEKDAY(B31,2)&gt;5,$K$4,$H$4))</x:f>
        <x:v>4</x:v>
      </x:c>
      <x:c r="G31" s="12" t="n">
        <x:f>ROUND(F31*0.25,1)</x:f>
        <x:v>1</x:v>
      </x:c>
      <x:c r="H31" s="12" t="n">
        <x:f>ROUND(F31*0.55,1)</x:f>
        <x:v>2.2</x:v>
      </x:c>
      <x:c r="I31" s="12" t="n">
        <x:f>F31-G31-H31</x:f>
        <x:v>0.7999999999999998</x:v>
      </x:c>
      <x:c r="J31" s="15"/>
      <x:c r="K31" s="4" t="str">
        <x:v>Не начато</x:v>
      </x:c>
      <x:c r="L31" s="14" t="str">
        <x:v>ER-схема, DDL, SCD2, таблица сверки</x:v>
      </x:c>
      <x:c r="M31" s="14" t="str">
        <x:v>Покажите, как изменившийся клиент, возврат и поздний документ влияют на факты и историю. Сверьте суммы по слоям.</x:v>
      </x:c>
      <x:c r="N31" s="14" t="str">
        <x:v>Покажите, как изменившийся клиент, возврат и поздний документ влияют на факты и историю. Сверьте суммы по слоям.</x:v>
      </x:c>
      <x:c r="O31" s="16"/>
      <x:c r="P31" s="15"/>
    </x:row>
    <x:row r="32" ht="100" customHeight="1">
      <x:c r="A32" s="2" t="n">
        <x:v>21</x:v>
      </x:c>
      <x:c r="B32" s="9" t="n">
        <x:f>$B$4+A32-1</x:f>
        <x:v>46348</x:v>
      </x:c>
      <x:c r="C32" s="2" t="str">
        <x:f>CHOOSE(WEEKDAY(B32,2),"пн","вт","ср","чт","пт","сб","вс")</x:f>
        <x:v>вс</x:v>
      </x:c>
      <x:c r="D32" s="13" t="str">
        <x:v>Данные и интерфейсы 1С</x:v>
      </x:c>
      <x:c r="E32" s="13" t="str">
        <x:v>Как читать данные 1С: УТ, УНФ, Бухгалтерия и неизвестная АТК</x:v>
      </x:c>
      <x:c r="F32" s="11" t="n">
        <x:f>IF(ISNUMBER(P32),P32,IF(WEEKDAY(B32,2)&gt;5,$K$4,$H$4))</x:f>
        <x:v>4</x:v>
      </x:c>
      <x:c r="G32" s="11" t="n">
        <x:f>ROUND(F32*0.25,1)</x:f>
        <x:v>1</x:v>
      </x:c>
      <x:c r="H32" s="11" t="n">
        <x:f>ROUND(F32*0.55,1)</x:f>
        <x:v>2.2</x:v>
      </x:c>
      <x:c r="I32" s="11" t="n">
        <x:f>F32-G32-H32</x:f>
        <x:v>0.7999999999999998</x:v>
      </x:c>
      <x:c r="J32" s="15"/>
      <x:c r="K32" s="4" t="str">
        <x:v>Не начато</x:v>
      </x:c>
      <x:c r="L32" s="13" t="str">
        <x:v>Карта метаданных конкретной учебной базы</x:v>
      </x:c>
      <x:c r="M32" s="13" t="str">
        <x:v>Выберите учебную базу или используйте mock-комплект; отметьте, что mock не подтверждает знание реальных метаданных. Заполните карту УТ, УНФ, Бухгалтерии по доступной документации и отдельно список вопросов к владельцам.</x:v>
      </x:c>
      <x:c r="N32" s="13" t="str">
        <x:v>Различаются документы и движения. Учётные определения согласованы отдельно для конфигураций. АТК отмечена как неизвестная, без выдуманной структуры.</x:v>
      </x:c>
      <x:c r="O32" s="16"/>
      <x:c r="P32" s="15"/>
    </x:row>
    <x:row r="33" ht="100" customHeight="1">
      <x:c r="A33" s="2" t="n">
        <x:v>22</x:v>
      </x:c>
      <x:c r="B33" s="9" t="n">
        <x:f>$B$4+A33-1</x:f>
        <x:v>46349</x:v>
      </x:c>
      <x:c r="C33" s="2" t="str">
        <x:f>CHOOSE(WEEKDAY(B33,2),"пн","вт","ср","чт","пт","сб","вс")</x:f>
        <x:v>пн</x:v>
      </x:c>
      <x:c r="D33" s="13" t="str">
        <x:v>Данные и интерфейсы 1С</x:v>
      </x:c>
      <x:c r="E33" s="13" t="str">
        <x:v>Выгрузки 1С, язык запросов и регистры</x:v>
      </x:c>
      <x:c r="F33" s="11" t="n">
        <x:f>IF(ISNUMBER(P33),P33,IF(WEEKDAY(B33,2)&gt;5,$K$4,$H$4))</x:f>
        <x:v>7</x:v>
      </x:c>
      <x:c r="G33" s="11" t="n">
        <x:f>ROUND(F33*0.25,1)</x:f>
        <x:v>1.8</x:v>
      </x:c>
      <x:c r="H33" s="11" t="n">
        <x:f>ROUND(F33*0.55,1)</x:f>
        <x:v>3.9</x:v>
      </x:c>
      <x:c r="I33" s="11" t="n">
        <x:f>F33-G33-H33</x:f>
        <x:v>1.3000000000000003</x:v>
      </x:c>
      <x:c r="J33" s="15"/>
      <x:c r="K33" s="4" t="str">
        <x:v>Не начато</x:v>
      </x:c>
      <x:c r="L33" s="13" t="str">
        <x:v>Формат выгрузки, manifest и контрольные итоги</x:v>
      </x:c>
      <x:c r="M33" s="13" t="str">
        <x:v>Составьте контракт файла продаж и manifest для двух пакетов. Сделайте одну выгрузку неполной, другую с неверной контрольной суммой; потребитель должен остановить публикацию.</x:v>
      </x:c>
      <x:c r="N33" s="13" t="str">
        <x:v>Потребитель не читает незавершённый файл. Типы, период, ключ и полнота определены. Имена объектов подтверждены либо явно обозначены как шаблон.</x:v>
      </x:c>
      <x:c r="O33" s="16"/>
      <x:c r="P33" s="15"/>
    </x:row>
    <x:row r="34" ht="100" customHeight="1">
      <x:c r="A34" s="2" t="n">
        <x:v>23</x:v>
      </x:c>
      <x:c r="B34" s="9" t="n">
        <x:f>$B$4+A34-1</x:f>
        <x:v>46350</x:v>
      </x:c>
      <x:c r="C34" s="2" t="str">
        <x:f>CHOOSE(WEEKDAY(B34,2),"пн","вт","ср","чт","пт","сб","вс")</x:f>
        <x:v>вт</x:v>
      </x:c>
      <x:c r="D34" s="13" t="str">
        <x:v>Данные и интерфейсы 1С</x:v>
      </x:c>
      <x:c r="E34" s="13" t="str">
        <x:v>OData 1С: метаданные, фильтры, страницы и права</x:v>
      </x:c>
      <x:c r="F34" s="11" t="n">
        <x:f>IF(ISNUMBER(P34),P34,IF(WEEKDAY(B34,2)&gt;5,$K$4,$H$4))</x:f>
        <x:v>7</x:v>
      </x:c>
      <x:c r="G34" s="11" t="n">
        <x:f>ROUND(F34*0.25,1)</x:f>
        <x:v>1.8</x:v>
      </x:c>
      <x:c r="H34" s="11" t="n">
        <x:f>ROUND(F34*0.55,1)</x:f>
        <x:v>3.9</x:v>
      </x:c>
      <x:c r="I34" s="11" t="n">
        <x:f>F34-G34-H34</x:f>
        <x:v>1.3000000000000003</x:v>
      </x:c>
      <x:c r="J34" s="15"/>
      <x:c r="K34" s="4" t="str">
        <x:v>Не начато</x:v>
      </x:c>
      <x:c r="L34" s="13" t="str">
        <x:v>Адаптер чтения с пагинацией и диагностикой</x:v>
      </x:c>
      <x:c r="M34" s="13" t="str">
        <x:v>Сохраните $metadata и сопоставьте одно entity set с внутренним контрактом. Реализуйте тесты пустой страницы, 401, 429, 500, неверного JSON и ссылки на чужой сервер.</x:v>
      </x:c>
      <x:c r="N34" s="13" t="str">
        <x:v>Имена объектов сверены с метаданными. Есть timeout, диагностика доступа и ограничение повторов. Полнота и стратегия изменений описаны без выдуманного modified_at.</x:v>
      </x:c>
      <x:c r="O34" s="16"/>
      <x:c r="P34" s="15"/>
    </x:row>
    <x:row r="35" ht="100" customHeight="1">
      <x:c r="A35" s="2" t="n">
        <x:v>24</x:v>
      </x:c>
      <x:c r="B35" s="9" t="n">
        <x:f>$B$4+A35-1</x:f>
        <x:v>46351</x:v>
      </x:c>
      <x:c r="C35" s="2" t="str">
        <x:f>CHOOSE(WEEKDAY(B35,2),"пн","вт","ср","чт","пт","сб","вс")</x:f>
        <x:v>ср</x:v>
      </x:c>
      <x:c r="D35" s="13" t="str">
        <x:v>Данные и интерфейсы 1С</x:v>
      </x:c>
      <x:c r="E35" s="13" t="str">
        <x:v>HTTP-сервис 1С и контракт обмена</x:v>
      </x:c>
      <x:c r="F35" s="11" t="n">
        <x:f>IF(ISNUMBER(P35),P35,IF(WEEKDAY(B35,2)&gt;5,$K$4,$H$4))</x:f>
        <x:v>7</x:v>
      </x:c>
      <x:c r="G35" s="11" t="n">
        <x:f>ROUND(F35*0.25,1)</x:f>
        <x:v>1.8</x:v>
      </x:c>
      <x:c r="H35" s="11" t="n">
        <x:f>ROUND(F35*0.55,1)</x:f>
        <x:v>3.9</x:v>
      </x:c>
      <x:c r="I35" s="11" t="n">
        <x:f>F35-G35-H35</x:f>
        <x:v>1.3000000000000003</x:v>
      </x:c>
      <x:c r="J35" s="15"/>
      <x:c r="K35" s="4" t="str">
        <x:v>Не начато</x:v>
      </x:c>
      <x:c r="L35" s="13" t="str">
        <x:v>Спецификация версионного change feed</x:v>
      </x:c>
      <x:c r="M35" s="13" t="str">
        <x:v>Опишите OpenAPI/JSON Schema интерфейса, пределы страницы и срок хранения курсора. Создайте mock с повтором события, delete, старой версией и разрывом истории.</x:v>
      </x:c>
      <x:c r="N35" s="13" t="str">
        <x:v>Custom API явно отделён от OData. Определены удаления, версии, повторы и потеря истории. Есть контрактный тест и сценарий полного восстановления.</x:v>
      </x:c>
      <x:c r="O35" s="16"/>
      <x:c r="P35" s="15"/>
    </x:row>
    <x:row r="36" ht="100" customHeight="1">
      <x:c r="A36" s="8" t="n">
        <x:v>25</x:v>
      </x:c>
      <x:c r="B36" s="10" t="n">
        <x:f>$B$4+A36-1</x:f>
        <x:v>46352</x:v>
      </x:c>
      <x:c r="C36" s="8" t="str">
        <x:f>CHOOSE(WEEKDAY(B36,2),"пн","вт","ср","чт","пт","сб","вс")</x:f>
        <x:v>чт</x:v>
      </x:c>
      <x:c r="D36" s="14" t="str">
        <x:v>Данные и интерфейсы 1С</x:v>
      </x:c>
      <x:c r="E36" s="14" t="str">
        <x:v>Практикум и проверка этапа: Данные и интерфейсы 1С</x:v>
      </x:c>
      <x:c r="F36" s="12" t="n">
        <x:f>IF(ISNUMBER(P36),P36,IF(WEEKDAY(B36,2)&gt;5,$K$4,$H$4))</x:f>
        <x:v>7</x:v>
      </x:c>
      <x:c r="G36" s="12" t="n">
        <x:f>ROUND(F36*0.25,1)</x:f>
        <x:v>1.8</x:v>
      </x:c>
      <x:c r="H36" s="12" t="n">
        <x:f>ROUND(F36*0.55,1)</x:f>
        <x:v>3.9</x:v>
      </x:c>
      <x:c r="I36" s="12" t="n">
        <x:f>F36-G36-H36</x:f>
        <x:v>1.3000000000000003</x:v>
      </x:c>
      <x:c r="J36" s="15"/>
      <x:c r="K36" s="4" t="str">
        <x:v>Не начато</x:v>
      </x:c>
      <x:c r="L36" s="14" t="str">
        <x:v>Карта 1С, контракт, выгрузка, журнал запросов</x:v>
      </x:c>
      <x:c r="M36" s="14" t="str">
        <x:v>Получите одну сущность из mock или учебной 1С двумя способами. Объясните проведение, движения и различия учёта. Зафиксируйте неизвестное об АТК.</x:v>
      </x:c>
      <x:c r="N36" s="14" t="str">
        <x:v>Получите одну сущность из mock или учебной 1С двумя способами. Объясните проведение, движения и различия учёта. Зафиксируйте неизвестное об АТК.</x:v>
      </x:c>
      <x:c r="O36" s="16"/>
      <x:c r="P36" s="15"/>
    </x:row>
    <x:row r="37" ht="100" customHeight="1">
      <x:c r="A37" s="2" t="n">
        <x:v>26</x:v>
      </x:c>
      <x:c r="B37" s="9" t="n">
        <x:f>$B$4+A37-1</x:f>
        <x:v>46353</x:v>
      </x:c>
      <x:c r="C37" s="2" t="str">
        <x:f>CHOOSE(WEEKDAY(B37,2),"пн","вт","ср","чт","пт","сб","вс")</x:f>
        <x:v>пт</x:v>
      </x:c>
      <x:c r="D37" s="13" t="str">
        <x:v>ETL/ELT и оркестрация</x:v>
      </x:c>
      <x:c r="E37" s="13" t="str">
        <x:v>ETL/ELT: от контракта к повторяемому запуску</x:v>
      </x:c>
      <x:c r="F37" s="11" t="n">
        <x:f>IF(ISNUMBER(P37),P37,IF(WEEKDAY(B37,2)&gt;5,$K$4,$H$4))</x:f>
        <x:v>7</x:v>
      </x:c>
      <x:c r="G37" s="11" t="n">
        <x:f>ROUND(F37*0.25,1)</x:f>
        <x:v>1.8</x:v>
      </x:c>
      <x:c r="H37" s="11" t="n">
        <x:f>ROUND(F37*0.55,1)</x:f>
        <x:v>3.9</x:v>
      </x:c>
      <x:c r="I37" s="11" t="n">
        <x:f>F37-G37-H37</x:f>
        <x:v>1.3000000000000003</x:v>
      </x:c>
      <x:c r="J37" s="15"/>
      <x:c r="K37" s="4" t="str">
        <x:v>Не начато</x:v>
      </x:c>
      <x:c r="L37" s="13" t="str">
        <x:v>CLI-пайплайн с manifest и checkpoint</x:v>
      </x:c>
      <x:c r="M37" s="13" t="str">
        <x:v>Соберите CLI python -m jobs.sales --start ... --end ... на лабораторном комплекте. Сохраните manifest: число строк, checksum, cutoff, source и schema_version.</x:v>
      </x:c>
      <x:c r="N37" s="13" t="str">
        <x:v>Все входные параметры явные. Качество проверяется до публикации. Checkpoint и данные согласованы после сбоя.</x:v>
      </x:c>
      <x:c r="O37" s="16"/>
      <x:c r="P37" s="15"/>
    </x:row>
    <x:row r="38" ht="100" customHeight="1">
      <x:c r="A38" s="2" t="n">
        <x:v>27</x:v>
      </x:c>
      <x:c r="B38" s="9" t="n">
        <x:f>$B$4+A38-1</x:f>
        <x:v>46354</x:v>
      </x:c>
      <x:c r="C38" s="2" t="str">
        <x:f>CHOOSE(WEEKDAY(B38,2),"пн","вт","ср","чт","пт","сб","вс")</x:f>
        <x:v>сб</x:v>
      </x:c>
      <x:c r="D38" s="13" t="str">
        <x:v>ETL/ELT и оркестрация</x:v>
      </x:c>
      <x:c r="E38" s="13" t="str">
        <x:v>Prefect 3: flow, task, повторы и наблюдаемость</x:v>
      </x:c>
      <x:c r="F38" s="11" t="n">
        <x:f>IF(ISNUMBER(P38),P38,IF(WEEKDAY(B38,2)&gt;5,$K$4,$H$4))</x:f>
        <x:v>4</x:v>
      </x:c>
      <x:c r="G38" s="11" t="n">
        <x:f>ROUND(F38*0.25,1)</x:f>
        <x:v>1</x:v>
      </x:c>
      <x:c r="H38" s="11" t="n">
        <x:f>ROUND(F38*0.55,1)</x:f>
        <x:v>2.2</x:v>
      </x:c>
      <x:c r="I38" s="11" t="n">
        <x:f>F38-G38-H38</x:f>
        <x:v>0.7999999999999998</x:v>
      </x:c>
      <x:c r="J38" s="15"/>
      <x:c r="K38" s="4" t="str">
        <x:v>Не начато</x:v>
      </x:c>
      <x:c r="L38" s="13" t="str">
        <x:v>Flow с параметрами и контролируемым повтором</x:v>
      </x:c>
      <x:c r="M38" s="13" t="str">
        <x:v>Подключите CLI-ядро предыдущего урока, не копируя бизнес-логику в task. Смоделируйте один временный сетевой сбой и постоянную ошибку контракта, сравните состояния.</x:v>
      </x:c>
      <x:c r="N38" s="13" t="str">
        <x:v>Повторы ограничены и обоснованы. Большие payload не уходят в служебное состояние. Показан реальный запуск в выбранном execution-контуре.</x:v>
      </x:c>
      <x:c r="O38" s="16"/>
      <x:c r="P38" s="15"/>
    </x:row>
    <x:row r="39" ht="100" customHeight="1">
      <x:c r="A39" s="2" t="n">
        <x:v>28</x:v>
      </x:c>
      <x:c r="B39" s="9" t="n">
        <x:f>$B$4+A39-1</x:f>
        <x:v>46355</x:v>
      </x:c>
      <x:c r="C39" s="2" t="str">
        <x:f>CHOOSE(WEEKDAY(B39,2),"пн","вт","ср","чт","пт","сб","вс")</x:f>
        <x:v>вс</x:v>
      </x:c>
      <x:c r="D39" s="13" t="str">
        <x:v>ETL/ELT и оркестрация</x:v>
      </x:c>
      <x:c r="E39" s="13" t="str">
        <x:v>Airflow 3: DAG, интервалы и backfill</x:v>
      </x:c>
      <x:c r="F39" s="11" t="n">
        <x:f>IF(ISNUMBER(P39),P39,IF(WEEKDAY(B39,2)&gt;5,$K$4,$H$4))</x:f>
        <x:v>4</x:v>
      </x:c>
      <x:c r="G39" s="11" t="n">
        <x:f>ROUND(F39*0.25,1)</x:f>
        <x:v>1</x:v>
      </x:c>
      <x:c r="H39" s="11" t="n">
        <x:f>ROUND(F39*0.55,1)</x:f>
        <x:v>2.2</x:v>
      </x:c>
      <x:c r="I39" s="11" t="n">
        <x:f>F39-G39-H39</x:f>
        <x:v>0.7999999999999998</x:v>
      </x:c>
      <x:c r="J39" s="15"/>
      <x:c r="K39" s="4" t="str">
        <x:v>Не начато</x:v>
      </x:c>
      <x:c r="L39" s="13" t="str">
        <x:v>DAG с явным data interval и маленькими XCom</x:v>
      </x:c>
      <x:c r="M39" s="13" t="str">
        <x:v>Запустите DAG в отдельном поддерживаемом Linux-контуре и проверьте import errors. Вручную запустите исторический интервал и покажите его в логах и manifest.</x:v>
      </x:c>
      <x:c r="N39" s="13" t="str">
        <x:v>DAG импортируется без побочных эффектов. Обрабатывается интервал запуска, а не системное сегодня. XCom содержит метаданные, backfill ограничен.</x:v>
      </x:c>
      <x:c r="O39" s="16"/>
      <x:c r="P39" s="15"/>
    </x:row>
    <x:row r="40" ht="100" customHeight="1">
      <x:c r="A40" s="2" t="n">
        <x:v>29</x:v>
      </x:c>
      <x:c r="B40" s="9" t="n">
        <x:f>$B$4+A40-1</x:f>
        <x:v>46356</x:v>
      </x:c>
      <x:c r="C40" s="2" t="str">
        <x:f>CHOOSE(WEEKDAY(B40,2),"пн","вт","ср","чт","пт","сб","вс")</x:f>
        <x:v>пн</x:v>
      </x:c>
      <x:c r="D40" s="13" t="str">
        <x:v>ETL/ELT и оркестрация</x:v>
      </x:c>
      <x:c r="E40" s="13" t="str">
        <x:v>Восстановление, backpressure и контроль публикации</x:v>
      </x:c>
      <x:c r="F40" s="11" t="n">
        <x:f>IF(ISNUMBER(P40),P40,IF(WEEKDAY(B40,2)&gt;5,$K$4,$H$4))</x:f>
        <x:v>7</x:v>
      </x:c>
      <x:c r="G40" s="11" t="n">
        <x:f>ROUND(F40*0.25,1)</x:f>
        <x:v>1.8</x:v>
      </x:c>
      <x:c r="H40" s="11" t="n">
        <x:f>ROUND(F40*0.55,1)</x:f>
        <x:v>3.9</x:v>
      </x:c>
      <x:c r="I40" s="11" t="n">
        <x:f>F40-G40-H40</x:f>
        <x:v>1.3000000000000003</x:v>
      </x:c>
      <x:c r="J40" s="15"/>
      <x:c r="K40" s="4" t="str">
        <x:v>Не начато</x:v>
      </x:c>
      <x:c r="L40" s="13" t="str">
        <x:v>Матрица сбоев и проверяемый runbook</x:v>
      </x:c>
      <x:c r="M40" s="13" t="str">
        <x:v>Добавьте управляемые failpoints в учебный пайплайн, выключаемые по умолчанию. Пройдите минимум четыре точки матрицы и сравните курсор, строки и суммы.</x:v>
      </x:c>
      <x:c r="N40" s="13" t="str">
        <x:v>Проверены сбои до и после commit. Есть мониторинг lag и свежести публикации. Восстановление повторено по инструкции.</x:v>
      </x:c>
      <x:c r="O40" s="16"/>
      <x:c r="P40" s="15"/>
    </x:row>
    <x:row r="41" ht="100" customHeight="1">
      <x:c r="A41" s="8" t="n">
        <x:v>30</x:v>
      </x:c>
      <x:c r="B41" s="10" t="n">
        <x:f>$B$4+A41-1</x:f>
        <x:v>46357</x:v>
      </x:c>
      <x:c r="C41" s="8" t="str">
        <x:f>CHOOSE(WEEKDAY(B41,2),"пн","вт","ср","чт","пт","сб","вс")</x:f>
        <x:v>вт</x:v>
      </x:c>
      <x:c r="D41" s="14" t="str">
        <x:v>ETL/ELT и оркестрация</x:v>
      </x:c>
      <x:c r="E41" s="14" t="str">
        <x:v>Практикум и проверка этапа: ETL/ELT и оркестрация</x:v>
      </x:c>
      <x:c r="F41" s="12" t="n">
        <x:f>IF(ISNUMBER(P41),P41,IF(WEEKDAY(B41,2)&gt;5,$K$4,$H$4))</x:f>
        <x:v>7</x:v>
      </x:c>
      <x:c r="G41" s="12" t="n">
        <x:f>ROUND(F41*0.25,1)</x:f>
        <x:v>1.8</x:v>
      </x:c>
      <x:c r="H41" s="12" t="n">
        <x:f>ROUND(F41*0.55,1)</x:f>
        <x:v>3.9</x:v>
      </x:c>
      <x:c r="I41" s="12" t="n">
        <x:f>F41-G41-H41</x:f>
        <x:v>1.3000000000000003</x:v>
      </x:c>
      <x:c r="J41" s="15"/>
      <x:c r="K41" s="4" t="str">
        <x:v>Не начато</x:v>
      </x:c>
      <x:c r="L41" s="14" t="str">
        <x:v>Flow, DAG, журнал запуска, сценарий восстановления</x:v>
      </x:c>
      <x:c r="M41" s="14" t="str">
        <x:v>Остановите процесс между записью и подтверждением. После перезапуска должны восстановиться данные без дублей, с проверяемым checkpoint.</x:v>
      </x:c>
      <x:c r="N41" s="14" t="str">
        <x:v>Остановите процесс между записью и подтверждением. После перезапуска должны восстановиться данные без дублей, с проверяемым checkpoint.</x:v>
      </x:c>
      <x:c r="O41" s="16"/>
      <x:c r="P41" s="15"/>
    </x:row>
    <x:row r="42" ht="100" customHeight="1">
      <x:c r="A42" s="2" t="n">
        <x:v>31</x:v>
      </x:c>
      <x:c r="B42" s="9" t="n">
        <x:f>$B$4+A42-1</x:f>
        <x:v>46358</x:v>
      </x:c>
      <x:c r="C42" s="2" t="str">
        <x:f>CHOOSE(WEEKDAY(B42,2),"пн","вт","ср","чт","пт","сб","вс")</x:f>
        <x:v>ср</x:v>
      </x:c>
      <x:c r="D42" s="13" t="str">
        <x:v>Python-бэкенд и API</x:v>
      </x:c>
      <x:c r="E42" s="13" t="str">
        <x:v>FastAPI: контракт API, валидация и пагинация</x:v>
      </x:c>
      <x:c r="F42" s="11" t="n">
        <x:f>IF(ISNUMBER(P42),P42,IF(WEEKDAY(B42,2)&gt;5,$K$4,$H$4))</x:f>
        <x:v>7</x:v>
      </x:c>
      <x:c r="G42" s="11" t="n">
        <x:f>ROUND(F42*0.25,1)</x:f>
        <x:v>1.8</x:v>
      </x:c>
      <x:c r="H42" s="11" t="n">
        <x:f>ROUND(F42*0.55,1)</x:f>
        <x:v>3.9</x:v>
      </x:c>
      <x:c r="I42" s="11" t="n">
        <x:f>F42-G42-H42</x:f>
        <x:v>1.3000000000000003</x:v>
      </x:c>
      <x:c r="J42" s="15"/>
      <x:c r="K42" s="4" t="str">
        <x:v>Не начато</x:v>
      </x:c>
      <x:c r="L42" s="13" t="str">
        <x:v>API с OpenAPI и проверками входных параметров</x:v>
      </x:c>
      <x:c r="M42" s="13" t="str">
        <x:v>Подключите repository к mart через SQLAlchemy, укажите сортировку и индексы. Добавьте фильтры периода [start,end) и организации из контекста доступа.</x:v>
      </x:c>
      <x:c r="N42" s="13" t="str">
        <x:v>Пагинация не теряет строки на фиксированной публикации. Вход и выход имеют отдельные схемы. Ошибки БД не превращаются в пустой отчёт.</x:v>
      </x:c>
      <x:c r="O42" s="16"/>
      <x:c r="P42" s="15"/>
    </x:row>
    <x:row r="43" ht="100" customHeight="1">
      <x:c r="A43" s="2" t="n">
        <x:v>32</x:v>
      </x:c>
      <x:c r="B43" s="9" t="n">
        <x:f>$B$4+A43-1</x:f>
        <x:v>46359</x:v>
      </x:c>
      <x:c r="C43" s="2" t="str">
        <x:f>CHOOSE(WEEKDAY(B43,2),"пн","вт","ср","чт","пт","сб","вс")</x:f>
        <x:v>чт</x:v>
      </x:c>
      <x:c r="D43" s="13" t="str">
        <x:v>Python-бэкенд и API</x:v>
      </x:c>
      <x:c r="E43" s="13" t="str">
        <x:v>Авторизация, фоновые задачи и безопасные интеграции</x:v>
      </x:c>
      <x:c r="F43" s="11" t="n">
        <x:f>IF(ISNUMBER(P43),P43,IF(WEEKDAY(B43,2)&gt;5,$K$4,$H$4))</x:f>
        <x:v>7</x:v>
      </x:c>
      <x:c r="G43" s="11" t="n">
        <x:f>ROUND(F43*0.25,1)</x:f>
        <x:v>1.8</x:v>
      </x:c>
      <x:c r="H43" s="11" t="n">
        <x:f>ROUND(F43*0.55,1)</x:f>
        <x:v>3.9</x:v>
      </x:c>
      <x:c r="I43" s="11" t="n">
        <x:f>F43-G43-H43</x:f>
        <x:v>1.3000000000000003</x:v>
      </x:c>
      <x:c r="J43" s="15"/>
      <x:c r="K43" s="4" t="str">
        <x:v>Не начато</x:v>
      </x:c>
      <x:c r="L43" s="13" t="str">
        <x:v>Матрица доступа и контракт фонового задания</x:v>
      </x:c>
      <x:c r="M43" s="13" t="str">
        <x:v>Составьте матрицу anonymous, analyst ORG1, analyst ORG2, admin с явными действиями. Проверьте чужой job_id, ссылку на результат и прямой запрос к данным другой организации.</x:v>
      </x:c>
      <x:c r="N43" s="13" t="str">
        <x:v>Проверяется каждый путь чтения результата. Перезапуск не теряет подтверждённую задачу. Секреты исключены из логов и ответов.</x:v>
      </x:c>
      <x:c r="O43" s="16"/>
      <x:c r="P43" s="15"/>
    </x:row>
    <x:row r="44" ht="100" customHeight="1">
      <x:c r="A44" s="2" t="n">
        <x:v>33</x:v>
      </x:c>
      <x:c r="B44" s="9" t="n">
        <x:f>$B$4+A44-1</x:f>
        <x:v>46360</x:v>
      </x:c>
      <x:c r="C44" s="2" t="str">
        <x:f>CHOOSE(WEEKDAY(B44,2),"пн","вт","ср","чт","пт","сб","вс")</x:f>
        <x:v>пт</x:v>
      </x:c>
      <x:c r="D44" s="13" t="str">
        <x:v>Python-бэкенд и API</x:v>
      </x:c>
      <x:c r="E44" s="13" t="str">
        <x:v>Django: ORM, миграции, admin и API</x:v>
      </x:c>
      <x:c r="F44" s="11" t="n">
        <x:f>IF(ISNUMBER(P44),P44,IF(WEEKDAY(B44,2)&gt;5,$K$4,$H$4))</x:f>
        <x:v>7</x:v>
      </x:c>
      <x:c r="G44" s="11" t="n">
        <x:f>ROUND(F44*0.25,1)</x:f>
        <x:v>1.8</x:v>
      </x:c>
      <x:c r="H44" s="11" t="n">
        <x:f>ROUND(F44*0.55,1)</x:f>
        <x:v>3.9</x:v>
      </x:c>
      <x:c r="I44" s="11" t="n">
        <x:f>F44-G44-H44</x:f>
        <x:v>1.3000000000000003</x:v>
      </x:c>
      <x:c r="J44" s="15"/>
      <x:c r="K44" s="4" t="str">
        <x:v>Не начато</x:v>
      </x:c>
      <x:c r="L44" s="13" t="str">
        <x:v>Django-модель и endpoint административного контура</x:v>
      </x:c>
      <x:c r="M44" s="13" t="str">
        <x:v>Создайте отдельное Django-окружение и app, выполните миграции. Добавьте admin со scope организаций и тестом чужой строки.</x:v>
      </x:c>
      <x:c r="N44" s="13" t="str">
        <x:v>Миграции применяются в пустой БД. Нет N+1 и утечки организаций. Описаны auth, CSRF и владелец схемы.</x:v>
      </x:c>
      <x:c r="O44" s="16"/>
      <x:c r="P44" s="15"/>
    </x:row>
    <x:row r="45" ht="100" customHeight="1">
      <x:c r="A45" s="2" t="n">
        <x:v>34</x:v>
      </x:c>
      <x:c r="B45" s="9" t="n">
        <x:f>$B$4+A45-1</x:f>
        <x:v>46361</x:v>
      </x:c>
      <x:c r="C45" s="2" t="str">
        <x:f>CHOOSE(WEEKDAY(B45,2),"пн","вт","ср","чт","пт","сб","вс")</x:f>
        <x:v>сб</x:v>
      </x:c>
      <x:c r="D45" s="13" t="str">
        <x:v>Python-бэкенд и API</x:v>
      </x:c>
      <x:c r="E45" s="13" t="str">
        <x:v>Архитектура Python-сервиса и код-ревью</x:v>
      </x:c>
      <x:c r="F45" s="11" t="n">
        <x:f>IF(ISNUMBER(P45),P45,IF(WEEKDAY(B45,2)&gt;5,$K$4,$H$4))</x:f>
        <x:v>4</x:v>
      </x:c>
      <x:c r="G45" s="11" t="n">
        <x:f>ROUND(F45*0.25,1)</x:f>
        <x:v>1</x:v>
      </x:c>
      <x:c r="H45" s="11" t="n">
        <x:f>ROUND(F45*0.55,1)</x:f>
        <x:v>2.2</x:v>
      </x:c>
      <x:c r="I45" s="11" t="n">
        <x:f>F45-G45-H45</x:f>
        <x:v>0.7999999999999998</x:v>
      </x:c>
      <x:c r="J45" s="15"/>
      <x:c r="K45" s="4" t="str">
        <x:v>Не начато</x:v>
      </x:c>
      <x:c r="L45" s="13" t="str">
        <x:v>ADR и содержательное ревью pull request</x:v>
      </x:c>
      <x:c r="M45" s="13" t="str">
        <x:v>Напишите ревью этого фрагмента с приоритетами и предлагаемыми проверками. Перепишите сценарий через application service и адаптеры, используя готовое ядро загрузки.</x:v>
      </x:c>
      <x:c r="N45" s="13" t="str">
        <x:v>Ревью объясняет последствия, а не только стиль. ADR содержит варианты и цену выбора. Тесты подтверждают изменённый сценарий и отказ.</x:v>
      </x:c>
      <x:c r="O45" s="16"/>
      <x:c r="P45" s="15"/>
    </x:row>
    <x:row r="46" ht="100" customHeight="1">
      <x:c r="A46" s="8" t="n">
        <x:v>35</x:v>
      </x:c>
      <x:c r="B46" s="10" t="n">
        <x:f>$B$4+A46-1</x:f>
        <x:v>46362</x:v>
      </x:c>
      <x:c r="C46" s="8" t="str">
        <x:f>CHOOSE(WEEKDAY(B46,2),"пн","вт","ср","чт","пт","сб","вс")</x:f>
        <x:v>вс</x:v>
      </x:c>
      <x:c r="D46" s="14" t="str">
        <x:v>Python-бэкенд и API</x:v>
      </x:c>
      <x:c r="E46" s="14" t="str">
        <x:v>Практикум и проверка этапа: Python-бэкенд и API</x:v>
      </x:c>
      <x:c r="F46" s="12" t="n">
        <x:f>IF(ISNUMBER(P46),P46,IF(WEEKDAY(B46,2)&gt;5,$K$4,$H$4))</x:f>
        <x:v>4</x:v>
      </x:c>
      <x:c r="G46" s="12" t="n">
        <x:f>ROUND(F46*0.25,1)</x:f>
        <x:v>1</x:v>
      </x:c>
      <x:c r="H46" s="12" t="n">
        <x:f>ROUND(F46*0.55,1)</x:f>
        <x:v>2.2</x:v>
      </x:c>
      <x:c r="I46" s="12" t="n">
        <x:f>F46-G46-H46</x:f>
        <x:v>0.7999999999999998</x:v>
      </x:c>
      <x:c r="J46" s="15"/>
      <x:c r="K46" s="4" t="str">
        <x:v>Не начато</x:v>
      </x:c>
      <x:c r="L46" s="14" t="str">
        <x:v>OpenAPI, API-тесты, Django-пример, ADR</x:v>
      </x:c>
      <x:c r="M46" s="14" t="str">
        <x:v>Проверьте пагинацию, 401/403, изоляцию организаций и повторный запрос. Защитите выбор FastAPI или Django для двух разных задач.</x:v>
      </x:c>
      <x:c r="N46" s="14" t="str">
        <x:v>Проверьте пагинацию, 401/403, изоляцию организаций и повторный запрос. Защитите выбор FastAPI или Django для двух разных задач.</x:v>
      </x:c>
      <x:c r="O46" s="16"/>
      <x:c r="P46" s="15"/>
    </x:row>
    <x:row r="47" ht="100" customHeight="1">
      <x:c r="A47" s="2" t="n">
        <x:v>36</x:v>
      </x:c>
      <x:c r="B47" s="9" t="n">
        <x:f>$B$4+A47-1</x:f>
        <x:v>46363</x:v>
      </x:c>
      <x:c r="C47" s="2" t="str">
        <x:f>CHOOSE(WEEKDAY(B47,2),"пн","вт","ср","чт","пт","сб","вс")</x:f>
        <x:v>пн</x:v>
      </x:c>
      <x:c r="D47" s="13" t="str">
        <x:v>BI и визуализация</x:v>
      </x:c>
      <x:c r="E47" s="13" t="str">
        <x:v>Семантика BI: словарь мер и дизайн отчёта</x:v>
      </x:c>
      <x:c r="F47" s="11" t="n">
        <x:f>IF(ISNUMBER(P47),P47,IF(WEEKDAY(B47,2)&gt;5,$K$4,$H$4))</x:f>
        <x:v>7</x:v>
      </x:c>
      <x:c r="G47" s="11" t="n">
        <x:f>ROUND(F47*0.25,1)</x:f>
        <x:v>1.8</x:v>
      </x:c>
      <x:c r="H47" s="11" t="n">
        <x:f>ROUND(F47*0.55,1)</x:f>
        <x:v>3.9</x:v>
      </x:c>
      <x:c r="I47" s="11" t="n">
        <x:f>F47-G47-H47</x:f>
        <x:v>1.3000000000000003</x:v>
      </x:c>
      <x:c r="J47" s="15"/>
      <x:c r="K47" s="4" t="str">
        <x:v>Не начато</x:v>
      </x:c>
      <x:c r="L47" s="13" t="str">
        <x:v>Спецификация дашборда и независимая сверка</x:v>
      </x:c>
      <x:c r="M47" s="13" t="str">
        <x:v>Составьте словарь десяти мер с примерами на пяти строках. Нарисуйте макет: четыре показателя, линия по дням, категории и таблица документов.</x:v>
      </x:c>
      <x:c r="N47" s="13" t="str">
        <x:v>Формулы однозначны и имеют владельца. Нули, пропуски и устаревшие данные различаются. Есть проверка итогов и доступа.</x:v>
      </x:c>
      <x:c r="O47" s="16"/>
      <x:c r="P47" s="15"/>
    </x:row>
    <x:row r="48" ht="100" customHeight="1">
      <x:c r="A48" s="2" t="n">
        <x:v>37</x:v>
      </x:c>
      <x:c r="B48" s="9" t="n">
        <x:f>$B$4+A48-1</x:f>
        <x:v>46364</x:v>
      </x:c>
      <x:c r="C48" s="2" t="str">
        <x:f>CHOOSE(WEEKDAY(B48,2),"пн","вт","ср","чт","пт","сб","вс")</x:f>
        <x:v>вт</x:v>
      </x:c>
      <x:c r="D48" s="13" t="str">
        <x:v>BI и визуализация</x:v>
      </x:c>
      <x:c r="E48" s="13" t="str">
        <x:v>Power BI: модель, Power Query, DAX и доступ</x:v>
      </x:c>
      <x:c r="F48" s="11" t="n">
        <x:f>IF(ISNUMBER(P48),P48,IF(WEEKDAY(B48,2)&gt;5,$K$4,$H$4))</x:f>
        <x:v>7</x:v>
      </x:c>
      <x:c r="G48" s="11" t="n">
        <x:f>ROUND(F48*0.25,1)</x:f>
        <x:v>1.8</x:v>
      </x:c>
      <x:c r="H48" s="11" t="n">
        <x:f>ROUND(F48*0.55,1)</x:f>
        <x:v>3.9</x:v>
      </x:c>
      <x:c r="I48" s="11" t="n">
        <x:f>F48-G48-H48</x:f>
        <x:v>1.3000000000000003</x:v>
      </x:c>
      <x:c r="J48" s="15"/>
      <x:c r="K48" s="4" t="str">
        <x:v>Не начато</x:v>
      </x:c>
      <x:c r="L48" s="13" t="str">
        <x:v>PBIX с мерами, календарём и отчётной страницей</x:v>
      </x:c>
      <x:c r="M48" s="13" t="str">
        <x:v>Загрузите звезду из PostgreSQL или CSV-экспорта лабораторной. Создайте календарь, четыре меры и страницу из предыдущего урока.</x:v>
      </x:c>
      <x:c r="N48" s="13" t="str">
        <x:v>Измерения имеют уникальные ключи. Меры корректны в строках и общем итоге. Ограничения Desktop и сервера явно разделены.</x:v>
      </x:c>
      <x:c r="O48" s="16"/>
      <x:c r="P48" s="15"/>
    </x:row>
    <x:row r="49" ht="100" customHeight="1">
      <x:c r="A49" s="2" t="n">
        <x:v>38</x:v>
      </x:c>
      <x:c r="B49" s="9" t="n">
        <x:f>$B$4+A49-1</x:f>
        <x:v>46365</x:v>
      </x:c>
      <x:c r="C49" s="2" t="str">
        <x:f>CHOOSE(WEEKDAY(B49,2),"пн","вт","ср","чт","пт","сб","вс")</x:f>
        <x:v>ср</x:v>
      </x:c>
      <x:c r="D49" s="13" t="str">
        <x:v>BI и визуализация</x:v>
      </x:c>
      <x:c r="E49" s="13" t="str">
        <x:v>Qlik: ассоциативная модель, скрипт загрузки и Set Analysis</x:v>
      </x:c>
      <x:c r="F49" s="11" t="n">
        <x:f>IF(ISNUMBER(P49),P49,IF(WEEKDAY(B49,2)&gt;5,$K$4,$H$4))</x:f>
        <x:v>7</x:v>
      </x:c>
      <x:c r="G49" s="11" t="n">
        <x:f>ROUND(F49*0.25,1)</x:f>
        <x:v>1.8</x:v>
      </x:c>
      <x:c r="H49" s="11" t="n">
        <x:f>ROUND(F49*0.55,1)</x:f>
        <x:v>3.9</x:v>
      </x:c>
      <x:c r="I49" s="11" t="n">
        <x:f>F49-G49-H49</x:f>
        <x:v>1.3000000000000003</x:v>
      </x:c>
      <x:c r="J49" s="15"/>
      <x:c r="K49" s="4" t="str">
        <x:v>Не начато</x:v>
      </x:c>
      <x:c r="L49" s="13" t="str">
        <x:v>Небольшое Qlik-приложение с проверенной моделью</x:v>
      </x:c>
      <x:c r="M49" s="13" t="str">
        <x:v>Загрузите INLINE-пример, добавьте таблицу и три меры. Выберите категорию A и объясните 80 рублей net и 100 рублей sale.</x:v>
      </x:c>
      <x:c r="N49" s="13" t="str">
        <x:v>Каждое общее поле имеет объяснимую связь. Set Analysis соответствует названию меры. Доступ и фактический запуск описаны честно.</x:v>
      </x:c>
      <x:c r="O49" s="16"/>
      <x:c r="P49" s="15"/>
    </x:row>
    <x:row r="50" ht="100" customHeight="1">
      <x:c r="A50" s="2" t="n">
        <x:v>39</x:v>
      </x:c>
      <x:c r="B50" s="9" t="n">
        <x:f>$B$4+A50-1</x:f>
        <x:v>46366</x:v>
      </x:c>
      <x:c r="C50" s="2" t="str">
        <x:f>CHOOSE(WEEKDAY(B50,2),"пн","вт","ср","чт","пт","сб","вс")</x:f>
        <x:v>чт</x:v>
      </x:c>
      <x:c r="D50" s="13" t="str">
        <x:v>BI и визуализация</x:v>
      </x:c>
      <x:c r="E50" s="13" t="str">
        <x:v>Superset, Metabase и собственная витрина</x:v>
      </x:c>
      <x:c r="F50" s="11" t="n">
        <x:f>IF(ISNUMBER(P50),P50,IF(WEEKDAY(B50,2)&gt;5,$K$4,$H$4))</x:f>
        <x:v>7</x:v>
      </x:c>
      <x:c r="G50" s="11" t="n">
        <x:f>ROUND(F50*0.25,1)</x:f>
        <x:v>1.8</x:v>
      </x:c>
      <x:c r="H50" s="11" t="n">
        <x:f>ROUND(F50*0.55,1)</x:f>
        <x:v>3.9</x:v>
      </x:c>
      <x:c r="I50" s="11" t="n">
        <x:f>F50-G50-H50</x:f>
        <x:v>1.3000000000000003</x:v>
      </x:c>
      <x:c r="J50" s="15"/>
      <x:c r="K50" s="4" t="str">
        <x:v>Не начато</x:v>
      </x:c>
      <x:c r="L50" s="13" t="str">
        <x:v>Рабочий дашборд в одном инструменте и карта переноса</x:v>
      </x:c>
      <x:c r="M50" s="13" t="str">
        <x:v>Выберите Superset или Metabase, запустите в учебном контуре по официальной инструкции. Подключите read-only БД, создайте dataset/question, линию, таблицу и фильтры.</x:v>
      </x:c>
      <x:c r="N50" s="13" t="str">
        <x:v>Есть один работающий дашборд и SQL-сверка. Фильтры согласованы между всеми графиками. Права и ограничения конкретной редакции проверены.</x:v>
      </x:c>
      <x:c r="O50" s="16"/>
      <x:c r="P50" s="15"/>
    </x:row>
    <x:row r="51" ht="100" customHeight="1">
      <x:c r="A51" s="8" t="n">
        <x:v>40</x:v>
      </x:c>
      <x:c r="B51" s="10" t="n">
        <x:f>$B$4+A51-1</x:f>
        <x:v>46367</x:v>
      </x:c>
      <x:c r="C51" s="8" t="str">
        <x:f>CHOOSE(WEEKDAY(B51,2),"пн","вт","ср","чт","пт","сб","вс")</x:f>
        <x:v>пт</x:v>
      </x:c>
      <x:c r="D51" s="14" t="str">
        <x:v>BI и визуализация</x:v>
      </x:c>
      <x:c r="E51" s="14" t="str">
        <x:v>Практикум и проверка этапа: BI и визуализация</x:v>
      </x:c>
      <x:c r="F51" s="12" t="n">
        <x:f>IF(ISNUMBER(P51),P51,IF(WEEKDAY(B51,2)&gt;5,$K$4,$H$4))</x:f>
        <x:v>7</x:v>
      </x:c>
      <x:c r="G51" s="12" t="n">
        <x:f>ROUND(F51*0.25,1)</x:f>
        <x:v>1.8</x:v>
      </x:c>
      <x:c r="H51" s="12" t="n">
        <x:f>ROUND(F51*0.55,1)</x:f>
        <x:v>3.9</x:v>
      </x:c>
      <x:c r="I51" s="12" t="n">
        <x:f>F51-G51-H51</x:f>
        <x:v>1.3000000000000003</x:v>
      </x:c>
      <x:c r="J51" s="15"/>
      <x:c r="K51" s="4" t="str">
        <x:v>Не начато</x:v>
      </x:c>
      <x:c r="L51" s="14" t="str">
        <x:v>Дашборд, словарь мер, SQL-сверка, сравнение инструментов</x:v>
      </x:c>
      <x:c r="M51" s="14" t="str">
        <x:v>Сверьте карточки, таблицы и фильтры с SQL. Покажите границы доступа и сценарий устаревших данных. Реализуйте один основной BI-инструмент.</x:v>
      </x:c>
      <x:c r="N51" s="14" t="str">
        <x:v>Сверьте карточки, таблицы и фильтры с SQL. Покажите границы доступа и сценарий устаревших данных. Реализуйте один основной BI-инструмент.</x:v>
      </x:c>
      <x:c r="O51" s="16"/>
      <x:c r="P51" s="15"/>
    </x:row>
    <x:row r="52" ht="100" customHeight="1">
      <x:c r="A52" s="2" t="n">
        <x:v>41</x:v>
      </x:c>
      <x:c r="B52" s="9" t="n">
        <x:f>$B$4+A52-1</x:f>
        <x:v>46368</x:v>
      </x:c>
      <x:c r="C52" s="2" t="str">
        <x:f>CHOOSE(WEEKDAY(B52,2),"пн","вт","ср","чт","пт","сб","вс")</x:f>
        <x:v>сб</x:v>
      </x:c>
      <x:c r="D52" s="13" t="str">
        <x:v>Прикладной ML: scikit-learn</x:v>
      </x:c>
      <x:c r="E52" s="13" t="str">
        <x:v>ML: задача, признаки, baseline и утечка</x:v>
      </x:c>
      <x:c r="F52" s="11" t="n">
        <x:f>IF(ISNUMBER(P52),P52,IF(WEEKDAY(B52,2)&gt;5,$K$4,$H$4))</x:f>
        <x:v>4</x:v>
      </x:c>
      <x:c r="G52" s="11" t="n">
        <x:f>ROUND(F52*0.25,1)</x:f>
        <x:v>1</x:v>
      </x:c>
      <x:c r="H52" s="11" t="n">
        <x:f>ROUND(F52*0.55,1)</x:f>
        <x:v>2.2</x:v>
      </x:c>
      <x:c r="I52" s="11" t="n">
        <x:f>F52-G52-H52</x:f>
        <x:v>0.7999999999999998</x:v>
      </x:c>
      <x:c r="J52" s="15"/>
      <x:c r="K52" s="4" t="str">
        <x:v>Не начато</x:v>
      </x:c>
      <x:c r="L52" s="13" t="str">
        <x:v>Dataset card и протокол валидации</x:v>
      </x:c>
      <x:c r="M52" s="13" t="str">
        <x:v>Сформулируйте одну задачу прогноза и альтернативную классификацию риска возврата. Для каждого признака укажите earliest_available_at и возможную утечку.</x:v>
      </x:c>
      <x:c r="N52" s="13" t="str">
        <x:v>Заданы момент, горизонт, объект и действие. Для признаков проверена доступность во времени. Есть baseline и независимый holdout.</x:v>
      </x:c>
      <x:c r="O52" s="16"/>
      <x:c r="P52" s="15"/>
    </x:row>
    <x:row r="53" ht="100" customHeight="1">
      <x:c r="A53" s="2" t="n">
        <x:v>42</x:v>
      </x:c>
      <x:c r="B53" s="9" t="n">
        <x:f>$B$4+A53-1</x:f>
        <x:v>46369</x:v>
      </x:c>
      <x:c r="C53" s="2" t="str">
        <x:f>CHOOSE(WEEKDAY(B53,2),"пн","вт","ср","чт","пт","сб","вс")</x:f>
        <x:v>вс</x:v>
      </x:c>
      <x:c r="D53" s="13" t="str">
        <x:v>Прикладной ML: scikit-learn</x:v>
      </x:c>
      <x:c r="E53" s="13" t="str">
        <x:v>scikit-learn: Pipeline и подготовка признаков</x:v>
      </x:c>
      <x:c r="F53" s="11" t="n">
        <x:f>IF(ISNUMBER(P53),P53,IF(WEEKDAY(B53,2)&gt;5,$K$4,$H$4))</x:f>
        <x:v>4</x:v>
      </x:c>
      <x:c r="G53" s="11" t="n">
        <x:f>ROUND(F53*0.25,1)</x:f>
        <x:v>1</x:v>
      </x:c>
      <x:c r="H53" s="11" t="n">
        <x:f>ROUND(F53*0.55,1)</x:f>
        <x:v>2.2</x:v>
      </x:c>
      <x:c r="I53" s="11" t="n">
        <x:f>F53-G53-H53</x:f>
        <x:v>0.7999999999999998</x:v>
      </x:c>
      <x:c r="J53" s="15"/>
      <x:c r="K53" s="4" t="str">
        <x:v>Не начато</x:v>
      </x:c>
      <x:c r="L53" s="13" t="str">
        <x:v>Единый объект preprocessing + model</x:v>
      </x:c>
      <x:c r="M53" s="13" t="str">
        <x:v>Подключите признаки из mart и временной split предыдущего урока. Добавьте сезонный baseline и сравните с Ridge/деревом на validation.</x:v>
      </x:c>
      <x:c r="N53" s="13" t="str">
        <x:v>Preprocessing не обучается на test. Предсказание принимает тот же контракт полей. Baseline и pipeline сравниваются на одном наборе.</x:v>
      </x:c>
      <x:c r="O53" s="16"/>
      <x:c r="P53" s="15"/>
    </x:row>
    <x:row r="54" ht="100" customHeight="1">
      <x:c r="A54" s="2" t="n">
        <x:v>43</x:v>
      </x:c>
      <x:c r="B54" s="9" t="n">
        <x:f>$B$4+A54-1</x:f>
        <x:v>46370</x:v>
      </x:c>
      <x:c r="C54" s="2" t="str">
        <x:f>CHOOSE(WEEKDAY(B54,2),"пн","вт","ср","чт","пт","сб","вс")</x:f>
        <x:v>пн</x:v>
      </x:c>
      <x:c r="D54" s="13" t="str">
        <x:v>Прикладной ML: scikit-learn</x:v>
      </x:c>
      <x:c r="E54" s="13" t="str">
        <x:v>Метрики, пороги и анализ ошибок</x:v>
      </x:c>
      <x:c r="F54" s="11" t="n">
        <x:f>IF(ISNUMBER(P54),P54,IF(WEEKDAY(B54,2)&gt;5,$K$4,$H$4))</x:f>
        <x:v>7</x:v>
      </x:c>
      <x:c r="G54" s="11" t="n">
        <x:f>ROUND(F54*0.25,1)</x:f>
        <x:v>1.8</x:v>
      </x:c>
      <x:c r="H54" s="11" t="n">
        <x:f>ROUND(F54*0.55,1)</x:f>
        <x:v>3.9</x:v>
      </x:c>
      <x:c r="I54" s="11" t="n">
        <x:f>F54-G54-H54</x:f>
        <x:v>1.3000000000000003</x:v>
      </x:c>
      <x:c r="J54" s="15"/>
      <x:c r="K54" s="4" t="str">
        <x:v>Не начато</x:v>
      </x:c>
      <x:c r="L54" s="13" t="str">
        <x:v>Отчёт с baseline, holdout и ошибками</x:v>
      </x:c>
      <x:c r="M54" s="13" t="str">
        <x:v>Составьте таблицу baseline/model на validation и одном закрытом test. Для классификации риска возврата рассчитайте precision/recall при трёх порогах.</x:v>
      </x:c>
      <x:c r="N54" s="13" t="str">
        <x:v>Метрики соответствуют действию и цене ошибок. Есть редкие и проблемные срезы. Порог и правило выпуска выбраны без подглядывания в test.</x:v>
      </x:c>
      <x:c r="O54" s="16"/>
      <x:c r="P54" s="15"/>
    </x:row>
    <x:row r="55" ht="100" customHeight="1">
      <x:c r="A55" s="2" t="n">
        <x:v>44</x:v>
      </x:c>
      <x:c r="B55" s="9" t="n">
        <x:f>$B$4+A55-1</x:f>
        <x:v>46371</x:v>
      </x:c>
      <x:c r="C55" s="2" t="str">
        <x:f>CHOOSE(WEEKDAY(B55,2),"пн","вт","ср","чт","пт","сб","вс")</x:f>
        <x:v>вт</x:v>
      </x:c>
      <x:c r="D55" s="13" t="str">
        <x:v>Прикладной ML: scikit-learn</x:v>
      </x:c>
      <x:c r="E55" s="13" t="str">
        <x:v>Модель в сервисе: версии, мониторинг и переобучение</x:v>
      </x:c>
      <x:c r="F55" s="11" t="n">
        <x:f>IF(ISNUMBER(P55),P55,IF(WEEKDAY(B55,2)&gt;5,$K$4,$H$4))</x:f>
        <x:v>7</x:v>
      </x:c>
      <x:c r="G55" s="11" t="n">
        <x:f>ROUND(F55*0.25,1)</x:f>
        <x:v>1.8</x:v>
      </x:c>
      <x:c r="H55" s="11" t="n">
        <x:f>ROUND(F55*0.55,1)</x:f>
        <x:v>3.9</x:v>
      </x:c>
      <x:c r="I55" s="11" t="n">
        <x:f>F55-G55-H55</x:f>
        <x:v>1.3000000000000003</x:v>
      </x:c>
      <x:c r="J55" s="15"/>
      <x:c r="K55" s="4" t="str">
        <x:v>Не начато</x:v>
      </x:c>
      <x:c r="L55" s="13" t="str">
        <x:v>Model card и контракт inference API</x:v>
      </x:c>
      <x:c r="M55" s="13" t="str">
        <x:v>Добавьте /predict в учебный API с валидацией и model_version. Сохраните и загрузите pipeline, сравните ответы на контрольном наборе.</x:v>
      </x:c>
      <x:c r="N55" s="13" t="str">
        <x:v>Артефакт связан с данными и кодом. Inference не обучает модель на запросе. Есть контроль входа, мониторинг и проверенный откат.</x:v>
      </x:c>
      <x:c r="O55" s="16"/>
      <x:c r="P55" s="15"/>
    </x:row>
    <x:row r="56" ht="100" customHeight="1">
      <x:c r="A56" s="8" t="n">
        <x:v>45</x:v>
      </x:c>
      <x:c r="B56" s="10" t="n">
        <x:f>$B$4+A56-1</x:f>
        <x:v>46372</x:v>
      </x:c>
      <x:c r="C56" s="8" t="str">
        <x:f>CHOOSE(WEEKDAY(B56,2),"пн","вт","ср","чт","пт","сб","вс")</x:f>
        <x:v>ср</x:v>
      </x:c>
      <x:c r="D56" s="14" t="str">
        <x:v>Прикладной ML: scikit-learn</x:v>
      </x:c>
      <x:c r="E56" s="14" t="str">
        <x:v>Практикум и проверка этапа: Прикладной ML: scikit-learn</x:v>
      </x:c>
      <x:c r="F56" s="12" t="n">
        <x:f>IF(ISNUMBER(P56),P56,IF(WEEKDAY(B56,2)&gt;5,$K$4,$H$4))</x:f>
        <x:v>7</x:v>
      </x:c>
      <x:c r="G56" s="12" t="n">
        <x:f>ROUND(F56*0.25,1)</x:f>
        <x:v>1.8</x:v>
      </x:c>
      <x:c r="H56" s="12" t="n">
        <x:f>ROUND(F56*0.55,1)</x:f>
        <x:v>3.9</x:v>
      </x:c>
      <x:c r="I56" s="12" t="n">
        <x:f>F56-G56-H56</x:f>
        <x:v>1.3000000000000003</x:v>
      </x:c>
      <x:c r="J56" s="15"/>
      <x:c r="K56" s="4" t="str">
        <x:v>Не начато</x:v>
      </x:c>
      <x:c r="L56" s="14" t="str">
        <x:v>Dataset card, Pipeline, holdout-отчёт, model card</x:v>
      </x:c>
      <x:c r="M56" s="14" t="str">
        <x:v>Сравните модель с baseline на отложенном времени. Покажите, что признаки доступны в момент прогноза, и разберите дорогие ошибки.</x:v>
      </x:c>
      <x:c r="N56" s="14" t="str">
        <x:v>Сравните модель с baseline на отложенном времени. Покажите, что признаки доступны в момент прогноза, и разберите дорогие ошибки.</x:v>
      </x:c>
      <x:c r="O56" s="16"/>
      <x:c r="P56" s="15"/>
    </x:row>
    <x:row r="57" ht="100" customHeight="1">
      <x:c r="A57" s="2" t="n">
        <x:v>46</x:v>
      </x:c>
      <x:c r="B57" s="9" t="n">
        <x:f>$B$4+A57-1</x:f>
        <x:v>46373</x:v>
      </x:c>
      <x:c r="C57" s="2" t="str">
        <x:f>CHOOSE(WEEKDAY(B57,2),"пн","вт","ср","чт","пт","сб","вс")</x:f>
        <x:v>чт</x:v>
      </x:c>
      <x:c r="D57" s="13" t="str">
        <x:v>Нейросети: PyTorch и TensorFlow</x:v>
      </x:c>
      <x:c r="E57" s="13" t="str">
        <x:v>Тензоры, формы и автоматическое дифференцирование</x:v>
      </x:c>
      <x:c r="F57" s="11" t="n">
        <x:f>IF(ISNUMBER(P57),P57,IF(WEEKDAY(B57,2)&gt;5,$K$4,$H$4))</x:f>
        <x:v>7</x:v>
      </x:c>
      <x:c r="G57" s="11" t="n">
        <x:f>ROUND(F57*0.25,1)</x:f>
        <x:v>1.8</x:v>
      </x:c>
      <x:c r="H57" s="11" t="n">
        <x:f>ROUND(F57*0.55,1)</x:f>
        <x:v>3.9</x:v>
      </x:c>
      <x:c r="I57" s="11" t="n">
        <x:f>F57-G57-H57</x:f>
        <x:v>1.3000000000000003</x:v>
      </x:c>
      <x:c r="J57" s="15"/>
      <x:c r="K57" s="4" t="str">
        <x:v>Не начато</x:v>
      </x:c>
      <x:c r="L57" s="13" t="str">
        <x:v>Проверка градиента и контракт форм тензоров</x:v>
      </x:c>
      <x:c r="M57" s="13" t="str">
        <x:v>Вычислите градиент вручную для другого w и проверьте autograd. Создайте вход [8,3], линейный слой 3→1 и target [8,1], добавьте assert форм.</x:v>
      </x:c>
      <x:c r="N57" s="13" t="str">
        <x:v>Формы и типы записаны. Градиент совпадает с ручным расчётом. Накопление градиентов контролируется.</x:v>
      </x:c>
      <x:c r="O57" s="16"/>
      <x:c r="P57" s="15"/>
    </x:row>
    <x:row r="58" ht="100" customHeight="1">
      <x:c r="A58" s="2" t="n">
        <x:v>47</x:v>
      </x:c>
      <x:c r="B58" s="9" t="n">
        <x:f>$B$4+A58-1</x:f>
        <x:v>46374</x:v>
      </x:c>
      <x:c r="C58" s="2" t="str">
        <x:f>CHOOSE(WEEKDAY(B58,2),"пн","вт","ср","чт","пт","сб","вс")</x:f>
        <x:v>пт</x:v>
      </x:c>
      <x:c r="D58" s="13" t="str">
        <x:v>Нейросети: PyTorch и TensorFlow</x:v>
      </x:c>
      <x:c r="E58" s="13" t="str">
        <x:v>PyTorch: цикл обучения, валидация и checkpoint</x:v>
      </x:c>
      <x:c r="F58" s="11" t="n">
        <x:f>IF(ISNUMBER(P58),P58,IF(WEEKDAY(B58,2)&gt;5,$K$4,$H$4))</x:f>
        <x:v>7</x:v>
      </x:c>
      <x:c r="G58" s="11" t="n">
        <x:f>ROUND(F58*0.25,1)</x:f>
        <x:v>1.8</x:v>
      </x:c>
      <x:c r="H58" s="11" t="n">
        <x:f>ROUND(F58*0.55,1)</x:f>
        <x:v>3.9</x:v>
      </x:c>
      <x:c r="I58" s="11" t="n">
        <x:f>F58-G58-H58</x:f>
        <x:v>1.3000000000000003</x:v>
      </x:c>
      <x:c r="J58" s="15"/>
      <x:c r="K58" s="4" t="str">
        <x:v>Не начато</x:v>
      </x:c>
      <x:c r="L58" s="13" t="str">
        <x:v>Обученная учебная сеть с воспроизводимым инференсом</x:v>
      </x:c>
      <x:c r="M58" s="13" t="str">
        <x:v>Добавьте Dataset/DataLoader, шум и отдельный validation-набор. Переобучитесь на 16 строках, затем верните обычную оценку.</x:v>
      </x:c>
      <x:c r="N58" s="13" t="str">
        <x:v>Есть корректный train/eval. Checkpoint восстанавливается в новом процессе. Модель сравнивается с baseline на holdout.</x:v>
      </x:c>
      <x:c r="O58" s="16"/>
      <x:c r="P58" s="15"/>
    </x:row>
    <x:row r="59" ht="100" customHeight="1">
      <x:c r="A59" s="2" t="n">
        <x:v>48</x:v>
      </x:c>
      <x:c r="B59" s="9" t="n">
        <x:f>$B$4+A59-1</x:f>
        <x:v>46375</x:v>
      </x:c>
      <x:c r="C59" s="2" t="str">
        <x:f>CHOOSE(WEEKDAY(B59,2),"пн","вт","ср","чт","пт","сб","вс")</x:f>
        <x:v>сб</x:v>
      </x:c>
      <x:c r="D59" s="13" t="str">
        <x:v>Нейросети: PyTorch и TensorFlow</x:v>
      </x:c>
      <x:c r="E59" s="13" t="str">
        <x:v>TensorFlow/Keras: fit, callbacks и формат модели</x:v>
      </x:c>
      <x:c r="F59" s="11" t="n">
        <x:f>IF(ISNUMBER(P59),P59,IF(WEEKDAY(B59,2)&gt;5,$K$4,$H$4))</x:f>
        <x:v>4</x:v>
      </x:c>
      <x:c r="G59" s="11" t="n">
        <x:f>ROUND(F59*0.25,1)</x:f>
        <x:v>1</x:v>
      </x:c>
      <x:c r="H59" s="11" t="n">
        <x:f>ROUND(F59*0.55,1)</x:f>
        <x:v>2.2</x:v>
      </x:c>
      <x:c r="I59" s="11" t="n">
        <x:f>F59-G59-H59</x:f>
        <x:v>0.7999999999999998</x:v>
      </x:c>
      <x:c r="J59" s="15"/>
      <x:c r="K59" s="4" t="str">
        <x:v>Не начато</x:v>
      </x:c>
      <x:c r="L59" s="13" t="str">
        <x:v>Keras-модель с сохранением и проверкой загрузки</x:v>
      </x:c>
      <x:c r="M59" s="13" t="str">
        <x:v>Повторите задачу PyTorch на одинаковом train/validation и сравните метрики. Добавьте явный test и не используйте его в callbacks.</x:v>
      </x:c>
      <x:c r="N59" s="13" t="str">
        <x:v>Окружение отделено и версии зафиксированы. Callbacks не используют test. Сохранённая модель даёт тот же ответ.</x:v>
      </x:c>
      <x:c r="O59" s="16"/>
      <x:c r="P59" s="15"/>
    </x:row>
    <x:row r="60" ht="100" customHeight="1">
      <x:c r="A60" s="2" t="n">
        <x:v>49</x:v>
      </x:c>
      <x:c r="B60" s="9" t="n">
        <x:f>$B$4+A60-1</x:f>
        <x:v>46376</x:v>
      </x:c>
      <x:c r="C60" s="2" t="str">
        <x:f>CHOOSE(WEEKDAY(B60,2),"пн","вт","ср","чт","пт","сб","вс")</x:f>
        <x:v>вс</x:v>
      </x:c>
      <x:c r="D60" s="13" t="str">
        <x:v>Нейросети: PyTorch и TensorFlow</x:v>
      </x:c>
      <x:c r="E60" s="13" t="str">
        <x:v>Нейросети: отладка, регуляризация и решение о применении</x:v>
      </x:c>
      <x:c r="F60" s="11" t="n">
        <x:f>IF(ISNUMBER(P60),P60,IF(WEEKDAY(B60,2)&gt;5,$K$4,$H$4))</x:f>
        <x:v>4</x:v>
      </x:c>
      <x:c r="G60" s="11" t="n">
        <x:f>ROUND(F60*0.25,1)</x:f>
        <x:v>1</x:v>
      </x:c>
      <x:c r="H60" s="11" t="n">
        <x:f>ROUND(F60*0.55,1)</x:f>
        <x:v>2.2</x:v>
      </x:c>
      <x:c r="I60" s="11" t="n">
        <x:f>F60-G60-H60</x:f>
        <x:v>0.7999999999999998</x:v>
      </x:c>
      <x:c r="J60" s="15"/>
      <x:c r="K60" s="4" t="str">
        <x:v>Не начато</x:v>
      </x:c>
      <x:c r="L60" s="13" t="str">
        <x:v>Отчёт экспериментов с объяснёнными выводами</x:v>
      </x:c>
      <x:c r="M60" s="13" t="str">
        <x:v>Создайте ошибочную форму target и слишком большой learning rate, диагностируйте по порядку. Проведите три опыта: baseline, небольшая сеть, сеть с одной регуляризацией.</x:v>
      </x:c>
      <x:c r="N60" s="13" t="str">
        <x:v>Ошибки форм и gradients диагностируются. Эксперименты воспроизводимы и сравнимы. Выбор учитывает цену эксплуатации.</x:v>
      </x:c>
      <x:c r="O60" s="16"/>
      <x:c r="P60" s="15"/>
    </x:row>
    <x:row r="61" ht="100" customHeight="1">
      <x:c r="A61" s="8" t="n">
        <x:v>50</x:v>
      </x:c>
      <x:c r="B61" s="10" t="n">
        <x:f>$B$4+A61-1</x:f>
        <x:v>46377</x:v>
      </x:c>
      <x:c r="C61" s="8" t="str">
        <x:f>CHOOSE(WEEKDAY(B61,2),"пн","вт","ср","чт","пт","сб","вс")</x:f>
        <x:v>пн</x:v>
      </x:c>
      <x:c r="D61" s="14" t="str">
        <x:v>Нейросети: PyTorch и TensorFlow</x:v>
      </x:c>
      <x:c r="E61" s="14" t="str">
        <x:v>Практикум и проверка этапа: Нейросети: PyTorch и TensorFlow</x:v>
      </x:c>
      <x:c r="F61" s="12" t="n">
        <x:f>IF(ISNUMBER(P61),P61,IF(WEEKDAY(B61,2)&gt;5,$K$4,$H$4))</x:f>
        <x:v>7</x:v>
      </x:c>
      <x:c r="G61" s="12" t="n">
        <x:f>ROUND(F61*0.25,1)</x:f>
        <x:v>1.8</x:v>
      </x:c>
      <x:c r="H61" s="12" t="n">
        <x:f>ROUND(F61*0.55,1)</x:f>
        <x:v>3.9</x:v>
      </x:c>
      <x:c r="I61" s="12" t="n">
        <x:f>F61-G61-H61</x:f>
        <x:v>1.3000000000000003</x:v>
      </x:c>
      <x:c r="J61" s="15"/>
      <x:c r="K61" s="4" t="str">
        <x:v>Не начато</x:v>
      </x:c>
      <x:c r="L61" s="14" t="str">
        <x:v>Ноутбук, кривые, checkpoint, сравнение фреймворков</x:v>
      </x:c>
      <x:c r="M61" s="14" t="str">
        <x:v>Переобучите сеть на малой выборке, затем восстановите нормальную валидацию. Сохраните и загрузите модель с одинаковым предсказанием.</x:v>
      </x:c>
      <x:c r="N61" s="14" t="str">
        <x:v>Переобучите сеть на малой выборке, затем восстановите нормальную валидацию. Сохраните и загрузите модель с одинаковым предсказанием.</x:v>
      </x:c>
      <x:c r="O61" s="16"/>
      <x:c r="P61" s="15"/>
    </x:row>
    <x:row r="62" ht="100" customHeight="1">
      <x:c r="A62" s="2" t="n">
        <x:v>51</x:v>
      </x:c>
      <x:c r="B62" s="9" t="n">
        <x:f>$B$4+A62-1</x:f>
        <x:v>46378</x:v>
      </x:c>
      <x:c r="C62" s="2" t="str">
        <x:f>CHOOSE(WEEKDAY(B62,2),"пн","вт","ср","чт","пт","сб","вс")</x:f>
        <x:v>вт</x:v>
      </x:c>
      <x:c r="D62" s="13" t="str">
        <x:v>LLM, RAG и векторные БД</x:v>
      </x:c>
      <x:c r="E62" s="13" t="str">
        <x:v>RAG: документы, чанки, embeddings и поиск</x:v>
      </x:c>
      <x:c r="F62" s="11" t="n">
        <x:f>IF(ISNUMBER(P62),P62,IF(WEEKDAY(B62,2)&gt;5,$K$4,$H$4))</x:f>
        <x:v>7</x:v>
      </x:c>
      <x:c r="G62" s="11" t="n">
        <x:f>ROUND(F62*0.25,1)</x:f>
        <x:v>1.8</x:v>
      </x:c>
      <x:c r="H62" s="11" t="n">
        <x:f>ROUND(F62*0.55,1)</x:f>
        <x:v>3.9</x:v>
      </x:c>
      <x:c r="I62" s="11" t="n">
        <x:f>F62-G62-H62</x:f>
        <x:v>1.3000000000000003</x:v>
      </x:c>
      <x:c r="J62" s="15"/>
      <x:c r="K62" s="4" t="str">
        <x:v>Не начато</x:v>
      </x:c>
      <x:c r="L62" s="13" t="str">
        <x:v>Корпус регламентов и контрольные вопросы</x:v>
      </x:c>
      <x:c r="M62" s="13" t="str">
        <x:v>Создайте 10–20 синтетических регламентов и 30 вопросов с expected doc_id/chunk_id. Разбейте документы по заголовкам, сохраните версию и позиции.</x:v>
      </x:c>
      <x:c r="N62" s="13" t="str">
        <x:v>Chunk связан с исходным местом документа. Есть независимый retrieval-eval. Обновление и удаление определены.</x:v>
      </x:c>
      <x:c r="O62" s="16"/>
      <x:c r="P62" s="15"/>
    </x:row>
    <x:row r="63" ht="100" customHeight="1">
      <x:c r="A63" s="2" t="n">
        <x:v>52</x:v>
      </x:c>
      <x:c r="B63" s="9" t="n">
        <x:f>$B$4+A63-1</x:f>
        <x:v>46379</x:v>
      </x:c>
      <x:c r="C63" s="2" t="str">
        <x:f>CHOOSE(WEEKDAY(B63,2),"пн","вт","ср","чт","пт","сб","вс")</x:f>
        <x:v>ср</x:v>
      </x:c>
      <x:c r="D63" s="13" t="str">
        <x:v>LLM, RAG и векторные БД</x:v>
      </x:c>
      <x:c r="E63" s="13" t="str">
        <x:v>Векторные БД: pgvector, Qdrant и Chroma</x:v>
      </x:c>
      <x:c r="F63" s="11" t="n">
        <x:f>IF(ISNUMBER(P63),P63,IF(WEEKDAY(B63,2)&gt;5,$K$4,$H$4))</x:f>
        <x:v>7</x:v>
      </x:c>
      <x:c r="G63" s="11" t="n">
        <x:f>ROUND(F63*0.25,1)</x:f>
        <x:v>1.8</x:v>
      </x:c>
      <x:c r="H63" s="11" t="n">
        <x:f>ROUND(F63*0.55,1)</x:f>
        <x:v>3.9</x:v>
      </x:c>
      <x:c r="I63" s="11" t="n">
        <x:f>F63-G63-H63</x:f>
        <x:v>1.3000000000000003</x:v>
      </x:c>
      <x:c r="J63" s="15"/>
      <x:c r="K63" s="4" t="str">
        <x:v>Не начато</x:v>
      </x:c>
      <x:c r="L63" s="13" t="str">
        <x:v>Векторный поиск с метаданными и фильтром доступа</x:v>
      </x:c>
      <x:c r="M63" s="13" t="str">
        <x:v>Реализуйте один реальный store с embedding-моделью и метаданными. Сравните exact и ANN на корпусе и двух фильтрах доступа.</x:v>
      </x:c>
      <x:c r="N63" s="13" t="str">
        <x:v>Размерность и метрика согласованы с моделью. Доступ проверен до генерации. Есть сравнение ANN с exact и проверка удаления.</x:v>
      </x:c>
      <x:c r="O63" s="16"/>
      <x:c r="P63" s="15"/>
    </x:row>
    <x:row r="64" ht="100" customHeight="1">
      <x:c r="A64" s="2" t="n">
        <x:v>53</x:v>
      </x:c>
      <x:c r="B64" s="9" t="n">
        <x:f>$B$4+A64-1</x:f>
        <x:v>46380</x:v>
      </x:c>
      <x:c r="C64" s="2" t="str">
        <x:f>CHOOSE(WEEKDAY(B64,2),"пн","вт","ср","чт","пт","сб","вс")</x:f>
        <x:v>чт</x:v>
      </x:c>
      <x:c r="D64" s="13" t="str">
        <x:v>LLM, RAG и векторные БД</x:v>
      </x:c>
      <x:c r="E64" s="13" t="str">
        <x:v>LangChain: явная RAG-цепочка и локальная LLM</x:v>
      </x:c>
      <x:c r="F64" s="11" t="n">
        <x:f>IF(ISNUMBER(P64),P64,IF(WEEKDAY(B64,2)&gt;5,$K$4,$H$4))</x:f>
        <x:v>7</x:v>
      </x:c>
      <x:c r="G64" s="11" t="n">
        <x:f>ROUND(F64*0.25,1)</x:f>
        <x:v>1.8</x:v>
      </x:c>
      <x:c r="H64" s="11" t="n">
        <x:f>ROUND(F64*0.55,1)</x:f>
        <x:v>3.9</x:v>
      </x:c>
      <x:c r="I64" s="11" t="n">
        <x:f>F64-G64-H64</x:f>
        <x:v>1.3000000000000003</x:v>
      </x:c>
      <x:c r="J64" s="15"/>
      <x:c r="K64" s="4" t="str">
        <x:v>Не начато</x:v>
      </x:c>
      <x:c r="L64" s="13" t="str">
        <x:v>Цепочка с источниками и контролируемым контекстом</x:v>
      </x:c>
      <x:c r="M64" s="13" t="str">
        <x:v>Подключите retriever из предыдущего урока и добавьте лимит контекста. Верните структурированный ответ: text, source_ids, model_version, index_version.</x:v>
      </x:c>
      <x:c r="N64" s="13" t="str">
        <x:v>Этапы доступны для отдельной проверки. Источники и доступ проверяются кодом. Есть negative tests и измерения задержки.</x:v>
      </x:c>
      <x:c r="O64" s="16"/>
      <x:c r="P64" s="15"/>
    </x:row>
    <x:row r="65" ht="100" customHeight="1">
      <x:c r="A65" s="2" t="n">
        <x:v>54</x:v>
      </x:c>
      <x:c r="B65" s="9" t="n">
        <x:f>$B$4+A65-1</x:f>
        <x:v>46381</x:v>
      </x:c>
      <x:c r="C65" s="2" t="str">
        <x:f>CHOOSE(WEEKDAY(B65,2),"пн","вт","ср","чт","пт","сб","вс")</x:f>
        <x:v>пт</x:v>
      </x:c>
      <x:c r="D65" s="13" t="str">
        <x:v>LLM, RAG и векторные БД</x:v>
      </x:c>
      <x:c r="E65" s="13" t="str">
        <x:v>LlamaIndex и оценка RAG по контрольному набору</x:v>
      </x:c>
      <x:c r="F65" s="11" t="n">
        <x:f>IF(ISNUMBER(P65),P65,IF(WEEKDAY(B65,2)&gt;5,$K$4,$H$4))</x:f>
        <x:v>7</x:v>
      </x:c>
      <x:c r="G65" s="11" t="n">
        <x:f>ROUND(F65*0.25,1)</x:f>
        <x:v>1.8</x:v>
      </x:c>
      <x:c r="H65" s="11" t="n">
        <x:f>ROUND(F65*0.55,1)</x:f>
        <x:v>3.9</x:v>
      </x:c>
      <x:c r="I65" s="11" t="n">
        <x:f>F65-G65-H65</x:f>
        <x:v>1.3000000000000003</x:v>
      </x:c>
      <x:c r="J65" s="15"/>
      <x:c r="K65" s="4" t="str">
        <x:v>Не начато</x:v>
      </x:c>
      <x:c r="L65" s="13" t="str">
        <x:v>Сравнение двух реализаций на одних вопросах</x:v>
      </x:c>
      <x:c r="M65" s="13" t="str">
        <x:v>Повторите retrieval контрольных вопросов и сравните с LangChain-реализацией. Составьте 30 вопросов: ответ есть, ответа нет, точный код, устаревший документ, чужой документ.</x:v>
      </x:c>
      <x:c r="N65" s="13" t="str">
        <x:v>Модели и splitter заданы явно. Оценка поиска отделена от оценки ответа. Нет выдачи чужих или удалённых документов.</x:v>
      </x:c>
      <x:c r="O65" s="16"/>
      <x:c r="P65" s="15"/>
    </x:row>
    <x:row r="66" ht="100" customHeight="1">
      <x:c r="A66" s="8" t="n">
        <x:v>55</x:v>
      </x:c>
      <x:c r="B66" s="10" t="n">
        <x:f>$B$4+A66-1</x:f>
        <x:v>46382</x:v>
      </x:c>
      <x:c r="C66" s="8" t="str">
        <x:f>CHOOSE(WEEKDAY(B66,2),"пн","вт","ср","чт","пт","сб","вс")</x:f>
        <x:v>сб</x:v>
      </x:c>
      <x:c r="D66" s="14" t="str">
        <x:v>LLM, RAG и векторные БД</x:v>
      </x:c>
      <x:c r="E66" s="14" t="str">
        <x:v>Практикум и проверка этапа: LLM, RAG и векторные БД</x:v>
      </x:c>
      <x:c r="F66" s="12" t="n">
        <x:f>IF(ISNUMBER(P66),P66,IF(WEEKDAY(B66,2)&gt;5,$K$4,$H$4))</x:f>
        <x:v>4</x:v>
      </x:c>
      <x:c r="G66" s="12" t="n">
        <x:f>ROUND(F66*0.25,1)</x:f>
        <x:v>1</x:v>
      </x:c>
      <x:c r="H66" s="12" t="n">
        <x:f>ROUND(F66*0.55,1)</x:f>
        <x:v>2.2</x:v>
      </x:c>
      <x:c r="I66" s="12" t="n">
        <x:f>F66-G66-H66</x:f>
        <x:v>0.7999999999999998</x:v>
      </x:c>
      <x:c r="J66" s="15"/>
      <x:c r="K66" s="4" t="str">
        <x:v>Не начато</x:v>
      </x:c>
      <x:c r="L66" s="14" t="str">
        <x:v>Индекс, две реализации цепочки, eval-набор, отчёт</x:v>
      </x:c>
      <x:c r="M66" s="14" t="str">
        <x:v>Прогоните контрольные вопросы, отсутствие ответа и чужой документ. Измерьте retrieval отдельно от генерации и покажите удаление документа.</x:v>
      </x:c>
      <x:c r="N66" s="14" t="str">
        <x:v>Прогоните контрольные вопросы, отсутствие ответа и чужой документ. Измерьте retrieval отдельно от генерации и покажите удаление документа.</x:v>
      </x:c>
      <x:c r="O66" s="16"/>
      <x:c r="P66" s="15"/>
    </x:row>
    <x:row r="67" ht="100" customHeight="1">
      <x:c r="A67" s="2" t="n">
        <x:v>56</x:v>
      </x:c>
      <x:c r="B67" s="9" t="n">
        <x:f>$B$4+A67-1</x:f>
        <x:v>46383</x:v>
      </x:c>
      <x:c r="C67" s="2" t="str">
        <x:f>CHOOSE(WEEKDAY(B67,2),"пн","вт","ср","чт","пт","сб","вс")</x:f>
        <x:v>вс</x:v>
      </x:c>
      <x:c r="D67" s="13" t="str">
        <x:v>Интеграция, ревью и защита</x:v>
      </x:c>
      <x:c r="E67" s="13" t="str">
        <x:v>Шины данных: события, outbox/inbox и порядок</x:v>
      </x:c>
      <x:c r="F67" s="11" t="n">
        <x:f>IF(ISNUMBER(P67),P67,IF(WEEKDAY(B67,2)&gt;5,$K$4,$H$4))</x:f>
        <x:v>4</x:v>
      </x:c>
      <x:c r="G67" s="11" t="n">
        <x:f>ROUND(F67*0.25,1)</x:f>
        <x:v>1</x:v>
      </x:c>
      <x:c r="H67" s="11" t="n">
        <x:f>ROUND(F67*0.55,1)</x:f>
        <x:v>2.2</x:v>
      </x:c>
      <x:c r="I67" s="11" t="n">
        <x:f>F67-G67-H67</x:f>
        <x:v>0.7999999999999998</x:v>
      </x:c>
      <x:c r="J67" s="15"/>
      <x:c r="K67" s="4" t="str">
        <x:v>Не начато</x:v>
      </x:c>
      <x:c r="L67" s="13" t="str">
        <x:v>Контракт события и схема восстановления доставки</x:v>
      </x:c>
      <x:c r="M67" s="13" t="str">
        <x:v>Нарисуйте HTTP- и broker-вариант между 1С и Python, укажите точки отказа. Реализуйте inbox на учебной БД и повторите одно событие десять раз.</x:v>
      </x:c>
      <x:c r="N67" s="13" t="str">
        <x:v>Эффект не дублируется после повторной доставки. Версии и порядок определены на нужном ключе. Outbox, inbox и ACK показаны на схеме сбоев.</x:v>
      </x:c>
      <x:c r="O67" s="16"/>
      <x:c r="P67" s="15"/>
    </x:row>
    <x:row r="68" ht="100" customHeight="1">
      <x:c r="A68" s="2" t="n">
        <x:v>57</x:v>
      </x:c>
      <x:c r="B68" s="9" t="n">
        <x:f>$B$4+A68-1</x:f>
        <x:v>46384</x:v>
      </x:c>
      <x:c r="C68" s="2" t="str">
        <x:f>CHOOSE(WEEKDAY(B68,2),"пн","вт","ср","чт","пт","сб","вс")</x:f>
        <x:v>пн</x:v>
      </x:c>
      <x:c r="D68" s="13" t="str">
        <x:v>Интеграция, ревью и защита</x:v>
      </x:c>
      <x:c r="E68" s="13" t="str">
        <x:v>Эксплуатация: конфигурация, health, логи и восстановление</x:v>
      </x:c>
      <x:c r="F68" s="11" t="n">
        <x:f>IF(ISNUMBER(P68),P68,IF(WEEKDAY(B68,2)&gt;5,$K$4,$H$4))</x:f>
        <x:v>7</x:v>
      </x:c>
      <x:c r="G68" s="11" t="n">
        <x:f>ROUND(F68*0.25,1)</x:f>
        <x:v>1.8</x:v>
      </x:c>
      <x:c r="H68" s="11" t="n">
        <x:f>ROUND(F68*0.55,1)</x:f>
        <x:v>3.9</x:v>
      </x:c>
      <x:c r="I68" s="11" t="n">
        <x:f>F68-G68-H68</x:f>
        <x:v>1.3000000000000003</x:v>
      </x:c>
      <x:c r="J68" s="15"/>
      <x:c r="K68" s="4" t="str">
        <x:v>Не начато</x:v>
      </x:c>
      <x:c r="L68" s="13" t="str">
        <x:v>Runbook, метрики и проверенное восстановление</x:v>
      </x:c>
      <x:c r="M68" s="13" t="str">
        <x:v>Добавьте три отдельных сигнала: process, dependency readiness, freshness. Постройте журнал одного сквозного запроса с request_id и run_id.</x:v>
      </x:c>
      <x:c r="N68" s="13" t="str">
        <x:v>Процесс, зависимости и свежесть различаются. Секреты отсутствуют в Git и логах. Restore выполнен и сверен.</x:v>
      </x:c>
      <x:c r="O68" s="16"/>
      <x:c r="P68" s="15"/>
    </x:row>
    <x:row r="69" ht="100" customHeight="1">
      <x:c r="A69" s="2" t="n">
        <x:v>58</x:v>
      </x:c>
      <x:c r="B69" s="9" t="n">
        <x:f>$B$4+A69-1</x:f>
        <x:v>46385</x:v>
      </x:c>
      <x:c r="C69" s="2" t="str">
        <x:f>CHOOSE(WEEKDAY(B69,2),"пн","вт","ср","чт","пт","сб","вс")</x:f>
        <x:v>вт</x:v>
      </x:c>
      <x:c r="D69" s="13" t="str">
        <x:v>Интеграция, ревью и защита</x:v>
      </x:c>
      <x:c r="E69" s="13" t="str">
        <x:v>Архитектурное ревью сквозного проекта</x:v>
      </x:c>
      <x:c r="F69" s="11" t="n">
        <x:f>IF(ISNUMBER(P69),P69,IF(WEEKDAY(B69,2)&gt;5,$K$4,$H$4))</x:f>
        <x:v>7</x:v>
      </x:c>
      <x:c r="G69" s="11" t="n">
        <x:f>ROUND(F69*0.25,1)</x:f>
        <x:v>1.8</x:v>
      </x:c>
      <x:c r="H69" s="11" t="n">
        <x:f>ROUND(F69*0.55,1)</x:f>
        <x:v>3.9</x:v>
      </x:c>
      <x:c r="I69" s="11" t="n">
        <x:f>F69-G69-H69</x:f>
        <x:v>1.3000000000000003</x:v>
      </x:c>
      <x:c r="J69" s="15"/>
      <x:c r="K69" s="4" t="str">
        <x:v>Не начато</x:v>
      </x:c>
      <x:c r="L69" s="13" t="str">
        <x:v>Схема, ADR и список закрытых рисков</x:v>
      </x:c>
      <x:c r="M69" s="13" t="str">
        <x:v>Нарисуйте контекст, контейнеры/процессы и поток одного документа. Сделайте пять ADR и таблицу рисков с доказательствами.</x:v>
      </x:c>
      <x:c r="N69" s="13" t="str">
        <x:v>Все требования связаны с реализацией или явным пробелом. Есть проверенные отказы и границы доступа. Решения объясняют альтернативы и цену.</x:v>
      </x:c>
      <x:c r="O69" s="16"/>
      <x:c r="P69" s="15"/>
    </x:row>
    <x:row r="70" ht="100" customHeight="1">
      <x:c r="A70" s="2" t="n">
        <x:v>59</x:v>
      </x:c>
      <x:c r="B70" s="9" t="n">
        <x:f>$B$4+A70-1</x:f>
        <x:v>46386</x:v>
      </x:c>
      <x:c r="C70" s="2" t="str">
        <x:f>CHOOSE(WEEKDAY(B70,2),"пн","вт","ср","чт","пт","сб","вс")</x:f>
        <x:v>ср</x:v>
      </x:c>
      <x:c r="D70" s="13" t="str">
        <x:v>Интеграция, ревью и защита</x:v>
      </x:c>
      <x:c r="E70" s="13" t="str">
        <x:v>Итоговая работа и план дальнейшего развития</x:v>
      </x:c>
      <x:c r="F70" s="11" t="n">
        <x:f>IF(ISNUMBER(P70),P70,IF(WEEKDAY(B70,2)&gt;5,$K$4,$H$4))</x:f>
        <x:v>7</x:v>
      </x:c>
      <x:c r="G70" s="11" t="n">
        <x:f>ROUND(F70*0.25,1)</x:f>
        <x:v>1.8</x:v>
      </x:c>
      <x:c r="H70" s="11" t="n">
        <x:f>ROUND(F70*0.55,1)</x:f>
        <x:v>3.9</x:v>
      </x:c>
      <x:c r="I70" s="11" t="n">
        <x:f>F70-G70-H70</x:f>
        <x:v>1.3000000000000003</x:v>
      </x:c>
      <x:c r="J70" s="15"/>
      <x:c r="K70" s="4" t="str">
        <x:v>Не начато</x:v>
      </x:c>
      <x:c r="L70" s="13" t="str">
        <x:v>Портфолио Data/AI-платформы и персональный backlog</x:v>
      </x:c>
      <x:c r="M70" s="13" t="str">
        <x:v>Соберите evidence.md: требование → артефакт → команда → наблюдаемый результат. Пройдите защиту без текста уроков, запишите вопросы и затруднения.</x:v>
      </x:c>
      <x:c r="N70" s="13" t="str">
        <x:v>Сквозной результат воспроизводится из README. Показаны повтор, отказ, восстановление и доступ. Все заявленные технологии имеют практический артефакт или явно отмеченный пробел. Backlog опирается на выявленные ограничения.</x:v>
      </x:c>
      <x:c r="O70" s="16"/>
      <x:c r="P70" s="15"/>
    </x:row>
    <x:row r="71" ht="100" customHeight="1">
      <x:c r="A71" s="8" t="n">
        <x:v>60</x:v>
      </x:c>
      <x:c r="B71" s="10" t="n">
        <x:f>$B$4+A71-1</x:f>
        <x:v>46387</x:v>
      </x:c>
      <x:c r="C71" s="8" t="str">
        <x:f>CHOOSE(WEEKDAY(B71,2),"пн","вт","ср","чт","пт","сб","вс")</x:f>
        <x:v>чт</x:v>
      </x:c>
      <x:c r="D71" s="14" t="str">
        <x:v>Интеграция, ревью и защита</x:v>
      </x:c>
      <x:c r="E71" s="14" t="str">
        <x:v>Практикум и проверка этапа: Интеграция, ревью и защита</x:v>
      </x:c>
      <x:c r="F71" s="12" t="n">
        <x:f>IF(ISNUMBER(P71),P71,IF(WEEKDAY(B71,2)&gt;5,$K$4,$H$4))</x:f>
        <x:v>7</x:v>
      </x:c>
      <x:c r="G71" s="12" t="n">
        <x:f>ROUND(F71*0.25,1)</x:f>
        <x:v>1.8</x:v>
      </x:c>
      <x:c r="H71" s="12" t="n">
        <x:f>ROUND(F71*0.55,1)</x:f>
        <x:v>3.9</x:v>
      </x:c>
      <x:c r="I71" s="12" t="n">
        <x:f>F71-G71-H71</x:f>
        <x:v>1.3000000000000003</x:v>
      </x:c>
      <x:c r="J71" s="15"/>
      <x:c r="K71" s="4" t="str">
        <x:v>Не начато</x:v>
      </x:c>
      <x:c r="L71" s="14" t="str">
        <x:v>README, ADR, тесты, runbook, запись защиты</x:v>
      </x:c>
      <x:c r="M71" s="14" t="str">
        <x:v>Проведите финальную демонстрацию без заранее открытого ноутбука. Воспроизведите сбой, восстановление, BI-сверку, прогноз и ответ RAG с источником.</x:v>
      </x:c>
      <x:c r="N71" s="14" t="str">
        <x:v>Проведите финальную демонстрацию без заранее открытого ноутбука. Воспроизведите сбой, восстановление, BI-сверку, прогноз и ответ RAG с источником.</x:v>
      </x:c>
      <x:c r="O71" s="16"/>
      <x:c r="P71" s="15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</x:sheetData>
  <x:conditionalFormatting sqref="K12:K71">
    <x:cfRule type="containsText" dxfId="0" priority="1" operator="containsText" text="Готово"/>
    <x:cfRule type="containsText" dxfId="1" priority="2" operator="containsText" text="Повторить"/>
  </x:conditionalFormatting>
  <x:conditionalFormatting sqref="B12:B71">
    <x:cfRule type="expression" dxfId="2" priority="3">
      <x:formula>B12&gt;$E$4</x:formula>
    </x:cfRule>
  </x:conditionalFormatting>
  <x:dataValidations count="5">
    <x:dataValidation type="list" sqref="K12:K71">
      <x:formula1>"Не начато,В работе,Готово,Повторить"</x:formula1>
    </x:dataValidation>
    <x:dataValidation type="decimal" operator="between" sqref="H4">
      <x:formula1>0</x:formula1>
      <x:formula2>16</x:formula2>
    </x:dataValidation>
    <x:dataValidation type="decimal" operator="between" sqref="K4">
      <x:formula1>0</x:formula1>
      <x:formula2>16</x:formula2>
    </x:dataValidation>
    <x:dataValidation type="decimal" operator="between" sqref="J12:J71">
      <x:formula1>0</x:formula1>
      <x:formula2>16</x:formula2>
    </x:dataValidation>
    <x:dataValidation type="decimal" operator="between" sqref="P12:P71">
      <x:formula1>0</x:formula1>
      <x:formula2>16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e44dd584bdc4ccb"/>
  </x:tableParts>
</x:worksheet>
</file>

<file path=xl/worksheets/sheet2.xml><?xml version="1.0" encoding="utf-8"?>
<x:worksheet xmlns:x="http://schemas.openxmlformats.org/spreadsheetml/2006/main">
  <x:sheetPr>
    <x:tabColor rgb="FF4B659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35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6" hidden="0" customWidth="1"/>
    <x:col min="8" max="8" width="65" hidden="0" customWidth="1"/>
    <x:col min="9" max="9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Этапы и контрольные результаты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Четыре урока и практикум в каждом этапе. Часы и статусы берутся из расписания.</x:v>
      </x:c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20" t="str">
        <x:v>№</x:v>
      </x:c>
      <x:c r="B5" s="20" t="str">
        <x:v>Этап</x:v>
      </x:c>
      <x:c r="C5" s="20" t="str">
        <x:v>Начало</x:v>
      </x:c>
      <x:c r="D5" s="20" t="str">
        <x:v>Конец</x:v>
      </x:c>
      <x:c r="E5" s="20" t="str">
        <x:v>План, ч</x:v>
      </x:c>
      <x:c r="F5" s="20" t="str">
        <x:v>Факт, ч</x:v>
      </x:c>
      <x:c r="G5" s="20" t="str">
        <x:v>Готово / 5</x:v>
      </x:c>
      <x:c r="H5" s="20" t="str">
        <x:v>Артефакты</x:v>
      </x:c>
      <x:c r="I5" s="20" t="str">
        <x:v>Задание практикума</x:v>
      </x:c>
    </x:row>
    <x:row r="6" ht="95" customHeight="1">
      <x:c r="A6" s="2" t="n">
        <x:v>1</x:v>
      </x:c>
      <x:c r="B6" s="13" t="str">
        <x:v>Python как инженерный инструмент</x:v>
      </x:c>
      <x:c r="C6" s="9" t="n">
        <x:f>_xlfn.MINIFS('Расписание'!$B$12:$B$71,'Расписание'!$D$12:$D$71,B6)</x:f>
        <x:v>46328</x:v>
      </x:c>
      <x:c r="D6" s="9" t="n">
        <x:f>_xlfn.MAXIFS('Расписание'!$B$12:$B$71,'Расписание'!$D$12:$D$71,B6)</x:f>
        <x:v>46332</x:v>
      </x:c>
      <x:c r="E6" s="11" t="n">
        <x:f>SUMIFS('Расписание'!$F$12:$F$71,'Расписание'!$D$12:$D$71,B6)</x:f>
        <x:v>35</x:v>
      </x:c>
      <x:c r="F6" s="11" t="n">
        <x:f>SUMIFS('Расписание'!$J$12:$J$71,'Расписание'!$D$12:$D$71,B6)</x:f>
        <x:v>0</x:v>
      </x:c>
      <x:c r="G6" s="2" t="n">
        <x:f>COUNTIFS('Расписание'!$D$12:$D$71,B6,'Расписание'!$K$12:$K$71,"Готово")</x:f>
        <x:v>0</x:v>
      </x:c>
      <x:c r="H6" s="13" t="str">
        <x:v>Репозиторий, lock-файл, тесты, схема слоёв</x:v>
      </x:c>
      <x:c r="I6" s="13" t="str">
        <x:v>Соберите CLI загрузки, проверьте неверные записи и объясните границы модулей. Другой человек должен запустить проект по README.</x:v>
      </x:c>
    </x:row>
    <x:row r="7" ht="95" customHeight="1">
      <x:c r="A7" s="2" t="n">
        <x:v>2</x:v>
      </x:c>
      <x:c r="B7" s="13" t="str">
        <x:v>pandas, Polars и SQLAlchemy</x:v>
      </x:c>
      <x:c r="C7" s="9" t="n">
        <x:f>_xlfn.MINIFS('Расписание'!$B$12:$B$71,'Расписание'!$D$12:$D$71,B7)</x:f>
        <x:v>46333</x:v>
      </x:c>
      <x:c r="D7" s="9" t="n">
        <x:f>_xlfn.MAXIFS('Расписание'!$B$12:$B$71,'Расписание'!$D$12:$D$71,B7)</x:f>
        <x:v>46337</x:v>
      </x:c>
      <x:c r="E7" s="11" t="n">
        <x:f>SUMIFS('Расписание'!$F$12:$F$71,'Расписание'!$D$12:$D$71,B7)</x:f>
        <x:v>29</x:v>
      </x:c>
      <x:c r="F7" s="11" t="n">
        <x:f>SUMIFS('Расписание'!$J$12:$J$71,'Расписание'!$D$12:$D$71,B7)</x:f>
        <x:v>0</x:v>
      </x:c>
      <x:c r="G7" s="2" t="n">
        <x:f>COUNTIFS('Расписание'!$D$12:$D$71,B7,'Расписание'!$K$12:$K$71,"Готово")</x:f>
        <x:v>0</x:v>
      </x:c>
      <x:c r="H7" s="13" t="str">
        <x:v>Два преобразования, бенчмарк, идемпотентная загрузка</x:v>
      </x:c>
      <x:c r="I7" s="13" t="str">
        <x:v>Обработайте одинаковый набор в pandas и Polars, сравните результат и память. Запишите данные в транзакции и повторите загрузку.</x:v>
      </x:c>
    </x:row>
    <x:row r="8" ht="95" customHeight="1">
      <x:c r="A8" s="2" t="n">
        <x:v>3</x:v>
      </x:c>
      <x:c r="B8" s="13" t="str">
        <x:v>Экспертный SQL</x:v>
      </x:c>
      <x:c r="C8" s="9" t="n">
        <x:f>_xlfn.MINIFS('Расписание'!$B$12:$B$71,'Расписание'!$D$12:$D$71,B8)</x:f>
        <x:v>46338</x:v>
      </x:c>
      <x:c r="D8" s="9" t="n">
        <x:f>_xlfn.MAXIFS('Расписание'!$B$12:$B$71,'Расписание'!$D$12:$D$71,B8)</x:f>
        <x:v>46342</x:v>
      </x:c>
      <x:c r="E8" s="11" t="n">
        <x:f>SUMIFS('Расписание'!$F$12:$F$71,'Расписание'!$D$12:$D$71,B8)</x:f>
        <x:v>29</x:v>
      </x:c>
      <x:c r="F8" s="11" t="n">
        <x:f>SUMIFS('Расписание'!$J$12:$J$71,'Расписание'!$D$12:$D$71,B8)</x:f>
        <x:v>0</x:v>
      </x:c>
      <x:c r="G8" s="2" t="n">
        <x:f>COUNTIFS('Расписание'!$D$12:$D$71,B8,'Расписание'!$K$12:$K$71,"Готово")</x:f>
        <x:v>0</x:v>
      </x:c>
      <x:c r="H8" s="13" t="str">
        <x:v>SQL-скрипты, контрольные итоги, планы запросов</x:v>
      </x:c>
      <x:c r="I8" s="13" t="str">
        <x:v>Решите задачи на окна и антисоединение без подсказок. Сравните EXPLAIN до и после индекса, воспроизведите гонку в двух сессиях.</x:v>
      </x:c>
    </x:row>
    <x:row r="9" ht="95" customHeight="1">
      <x:c r="A9" s="2" t="n">
        <x:v>4</x:v>
      </x:c>
      <x:c r="B9" s="13" t="str">
        <x:v>DWH и моделирование данных</x:v>
      </x:c>
      <x:c r="C9" s="9" t="n">
        <x:f>_xlfn.MINIFS('Расписание'!$B$12:$B$71,'Расписание'!$D$12:$D$71,B9)</x:f>
        <x:v>46343</x:v>
      </x:c>
      <x:c r="D9" s="9" t="n">
        <x:f>_xlfn.MAXIFS('Расписание'!$B$12:$B$71,'Расписание'!$D$12:$D$71,B9)</x:f>
        <x:v>46347</x:v>
      </x:c>
      <x:c r="E9" s="11" t="n">
        <x:f>SUMIFS('Расписание'!$F$12:$F$71,'Расписание'!$D$12:$D$71,B9)</x:f>
        <x:v>32</x:v>
      </x:c>
      <x:c r="F9" s="11" t="n">
        <x:f>SUMIFS('Расписание'!$J$12:$J$71,'Расписание'!$D$12:$D$71,B9)</x:f>
        <x:v>0</x:v>
      </x:c>
      <x:c r="G9" s="2" t="n">
        <x:f>COUNTIFS('Расписание'!$D$12:$D$71,B9,'Расписание'!$K$12:$K$71,"Готово")</x:f>
        <x:v>0</x:v>
      </x:c>
      <x:c r="H9" s="13" t="str">
        <x:v>ER-схема, DDL, SCD2, таблица сверки</x:v>
      </x:c>
      <x:c r="I9" s="13" t="str">
        <x:v>Покажите, как изменившийся клиент, возврат и поздний документ влияют на факты и историю. Сверьте суммы по слоям.</x:v>
      </x:c>
    </x:row>
    <x:row r="10" ht="95" customHeight="1">
      <x:c r="A10" s="2" t="n">
        <x:v>5</x:v>
      </x:c>
      <x:c r="B10" s="13" t="str">
        <x:v>Данные и интерфейсы 1С</x:v>
      </x:c>
      <x:c r="C10" s="9" t="n">
        <x:f>_xlfn.MINIFS('Расписание'!$B$12:$B$71,'Расписание'!$D$12:$D$71,B10)</x:f>
        <x:v>46348</x:v>
      </x:c>
      <x:c r="D10" s="9" t="n">
        <x:f>_xlfn.MAXIFS('Расписание'!$B$12:$B$71,'Расписание'!$D$12:$D$71,B10)</x:f>
        <x:v>46352</x:v>
      </x:c>
      <x:c r="E10" s="11" t="n">
        <x:f>SUMIFS('Расписание'!$F$12:$F$71,'Расписание'!$D$12:$D$71,B10)</x:f>
        <x:v>32</x:v>
      </x:c>
      <x:c r="F10" s="11" t="n">
        <x:f>SUMIFS('Расписание'!$J$12:$J$71,'Расписание'!$D$12:$D$71,B10)</x:f>
        <x:v>0</x:v>
      </x:c>
      <x:c r="G10" s="2" t="n">
        <x:f>COUNTIFS('Расписание'!$D$12:$D$71,B10,'Расписание'!$K$12:$K$71,"Готово")</x:f>
        <x:v>0</x:v>
      </x:c>
      <x:c r="H10" s="13" t="str">
        <x:v>Карта 1С, контракт, выгрузка, журнал запросов</x:v>
      </x:c>
      <x:c r="I10" s="13" t="str">
        <x:v>Получите одну сущность из mock или учебной 1С двумя способами. Объясните проведение, движения и различия учёта. Зафиксируйте неизвестное об АТК.</x:v>
      </x:c>
    </x:row>
    <x:row r="11" ht="95" customHeight="1">
      <x:c r="A11" s="2" t="n">
        <x:v>6</x:v>
      </x:c>
      <x:c r="B11" s="13" t="str">
        <x:v>ETL/ELT и оркестрация</x:v>
      </x:c>
      <x:c r="C11" s="9" t="n">
        <x:f>_xlfn.MINIFS('Расписание'!$B$12:$B$71,'Расписание'!$D$12:$D$71,B11)</x:f>
        <x:v>46353</x:v>
      </x:c>
      <x:c r="D11" s="9" t="n">
        <x:f>_xlfn.MAXIFS('Расписание'!$B$12:$B$71,'Расписание'!$D$12:$D$71,B11)</x:f>
        <x:v>46357</x:v>
      </x:c>
      <x:c r="E11" s="11" t="n">
        <x:f>SUMIFS('Расписание'!$F$12:$F$71,'Расписание'!$D$12:$D$71,B11)</x:f>
        <x:v>29</x:v>
      </x:c>
      <x:c r="F11" s="11" t="n">
        <x:f>SUMIFS('Расписание'!$J$12:$J$71,'Расписание'!$D$12:$D$71,B11)</x:f>
        <x:v>0</x:v>
      </x:c>
      <x:c r="G11" s="2" t="n">
        <x:f>COUNTIFS('Расписание'!$D$12:$D$71,B11,'Расписание'!$K$12:$K$71,"Готово")</x:f>
        <x:v>0</x:v>
      </x:c>
      <x:c r="H11" s="13" t="str">
        <x:v>Flow, DAG, журнал запуска, сценарий восстановления</x:v>
      </x:c>
      <x:c r="I11" s="13" t="str">
        <x:v>Остановите процесс между записью и подтверждением. После перезапуска должны восстановиться данные без дублей, с проверяемым checkpoint.</x:v>
      </x:c>
    </x:row>
    <x:row r="12" ht="95" customHeight="1">
      <x:c r="A12" s="2" t="n">
        <x:v>7</x:v>
      </x:c>
      <x:c r="B12" s="13" t="str">
        <x:v>Python-бэкенд и API</x:v>
      </x:c>
      <x:c r="C12" s="9" t="n">
        <x:f>_xlfn.MINIFS('Расписание'!$B$12:$B$71,'Расписание'!$D$12:$D$71,B12)</x:f>
        <x:v>46358</x:v>
      </x:c>
      <x:c r="D12" s="9" t="n">
        <x:f>_xlfn.MAXIFS('Расписание'!$B$12:$B$71,'Расписание'!$D$12:$D$71,B12)</x:f>
        <x:v>46362</x:v>
      </x:c>
      <x:c r="E12" s="11" t="n">
        <x:f>SUMIFS('Расписание'!$F$12:$F$71,'Расписание'!$D$12:$D$71,B12)</x:f>
        <x:v>29</x:v>
      </x:c>
      <x:c r="F12" s="11" t="n">
        <x:f>SUMIFS('Расписание'!$J$12:$J$71,'Расписание'!$D$12:$D$71,B12)</x:f>
        <x:v>0</x:v>
      </x:c>
      <x:c r="G12" s="2" t="n">
        <x:f>COUNTIFS('Расписание'!$D$12:$D$71,B12,'Расписание'!$K$12:$K$71,"Готово")</x:f>
        <x:v>0</x:v>
      </x:c>
      <x:c r="H12" s="13" t="str">
        <x:v>OpenAPI, API-тесты, Django-пример, ADR</x:v>
      </x:c>
      <x:c r="I12" s="13" t="str">
        <x:v>Проверьте пагинацию, 401/403, изоляцию организаций и повторный запрос. Защитите выбор FastAPI или Django для двух разных задач.</x:v>
      </x:c>
    </x:row>
    <x:row r="13" ht="95" customHeight="1">
      <x:c r="A13" s="2" t="n">
        <x:v>8</x:v>
      </x:c>
      <x:c r="B13" s="13" t="str">
        <x:v>BI и визуализация</x:v>
      </x:c>
      <x:c r="C13" s="9" t="n">
        <x:f>_xlfn.MINIFS('Расписание'!$B$12:$B$71,'Расписание'!$D$12:$D$71,B13)</x:f>
        <x:v>46363</x:v>
      </x:c>
      <x:c r="D13" s="9" t="n">
        <x:f>_xlfn.MAXIFS('Расписание'!$B$12:$B$71,'Расписание'!$D$12:$D$71,B13)</x:f>
        <x:v>46367</x:v>
      </x:c>
      <x:c r="E13" s="11" t="n">
        <x:f>SUMIFS('Расписание'!$F$12:$F$71,'Расписание'!$D$12:$D$71,B13)</x:f>
        <x:v>35</x:v>
      </x:c>
      <x:c r="F13" s="11" t="n">
        <x:f>SUMIFS('Расписание'!$J$12:$J$71,'Расписание'!$D$12:$D$71,B13)</x:f>
        <x:v>0</x:v>
      </x:c>
      <x:c r="G13" s="2" t="n">
        <x:f>COUNTIFS('Расписание'!$D$12:$D$71,B13,'Расписание'!$K$12:$K$71,"Готово")</x:f>
        <x:v>0</x:v>
      </x:c>
      <x:c r="H13" s="13" t="str">
        <x:v>Дашборд, словарь мер, SQL-сверка, сравнение инструментов</x:v>
      </x:c>
      <x:c r="I13" s="13" t="str">
        <x:v>Сверьте карточки, таблицы и фильтры с SQL. Покажите границы доступа и сценарий устаревших данных. Реализуйте один основной BI-инструмент.</x:v>
      </x:c>
    </x:row>
    <x:row r="14" ht="95" customHeight="1">
      <x:c r="A14" s="2" t="n">
        <x:v>9</x:v>
      </x:c>
      <x:c r="B14" s="13" t="str">
        <x:v>Прикладной ML: scikit-learn</x:v>
      </x:c>
      <x:c r="C14" s="9" t="n">
        <x:f>_xlfn.MINIFS('Расписание'!$B$12:$B$71,'Расписание'!$D$12:$D$71,B14)</x:f>
        <x:v>46368</x:v>
      </x:c>
      <x:c r="D14" s="9" t="n">
        <x:f>_xlfn.MAXIFS('Расписание'!$B$12:$B$71,'Расписание'!$D$12:$D$71,B14)</x:f>
        <x:v>46372</x:v>
      </x:c>
      <x:c r="E14" s="11" t="n">
        <x:f>SUMIFS('Расписание'!$F$12:$F$71,'Расписание'!$D$12:$D$71,B14)</x:f>
        <x:v>29</x:v>
      </x:c>
      <x:c r="F14" s="11" t="n">
        <x:f>SUMIFS('Расписание'!$J$12:$J$71,'Расписание'!$D$12:$D$71,B14)</x:f>
        <x:v>0</x:v>
      </x:c>
      <x:c r="G14" s="2" t="n">
        <x:f>COUNTIFS('Расписание'!$D$12:$D$71,B14,'Расписание'!$K$12:$K$71,"Готово")</x:f>
        <x:v>0</x:v>
      </x:c>
      <x:c r="H14" s="13" t="str">
        <x:v>Dataset card, Pipeline, holdout-отчёт, model card</x:v>
      </x:c>
      <x:c r="I14" s="13" t="str">
        <x:v>Сравните модель с baseline на отложенном времени. Покажите, что признаки доступны в момент прогноза, и разберите дорогие ошибки.</x:v>
      </x:c>
    </x:row>
    <x:row r="15" ht="95" customHeight="1">
      <x:c r="A15" s="2" t="n">
        <x:v>10</x:v>
      </x:c>
      <x:c r="B15" s="13" t="str">
        <x:v>Нейросети: PyTorch и TensorFlow</x:v>
      </x:c>
      <x:c r="C15" s="9" t="n">
        <x:f>_xlfn.MINIFS('Расписание'!$B$12:$B$71,'Расписание'!$D$12:$D$71,B15)</x:f>
        <x:v>46373</x:v>
      </x:c>
      <x:c r="D15" s="9" t="n">
        <x:f>_xlfn.MAXIFS('Расписание'!$B$12:$B$71,'Расписание'!$D$12:$D$71,B15)</x:f>
        <x:v>46377</x:v>
      </x:c>
      <x:c r="E15" s="11" t="n">
        <x:f>SUMIFS('Расписание'!$F$12:$F$71,'Расписание'!$D$12:$D$71,B15)</x:f>
        <x:v>29</x:v>
      </x:c>
      <x:c r="F15" s="11" t="n">
        <x:f>SUMIFS('Расписание'!$J$12:$J$71,'Расписание'!$D$12:$D$71,B15)</x:f>
        <x:v>0</x:v>
      </x:c>
      <x:c r="G15" s="2" t="n">
        <x:f>COUNTIFS('Расписание'!$D$12:$D$71,B15,'Расписание'!$K$12:$K$71,"Готово")</x:f>
        <x:v>0</x:v>
      </x:c>
      <x:c r="H15" s="13" t="str">
        <x:v>Ноутбук, кривые, checkpoint, сравнение фреймворков</x:v>
      </x:c>
      <x:c r="I15" s="13" t="str">
        <x:v>Переобучите сеть на малой выборке, затем восстановите нормальную валидацию. Сохраните и загрузите модель с одинаковым предсказанием.</x:v>
      </x:c>
    </x:row>
    <x:row r="16" ht="95" customHeight="1">
      <x:c r="A16" s="2" t="n">
        <x:v>11</x:v>
      </x:c>
      <x:c r="B16" s="13" t="str">
        <x:v>LLM, RAG и векторные БД</x:v>
      </x:c>
      <x:c r="C16" s="9" t="n">
        <x:f>_xlfn.MINIFS('Расписание'!$B$12:$B$71,'Расписание'!$D$12:$D$71,B16)</x:f>
        <x:v>46378</x:v>
      </x:c>
      <x:c r="D16" s="9" t="n">
        <x:f>_xlfn.MAXIFS('Расписание'!$B$12:$B$71,'Расписание'!$D$12:$D$71,B16)</x:f>
        <x:v>46382</x:v>
      </x:c>
      <x:c r="E16" s="11" t="n">
        <x:f>SUMIFS('Расписание'!$F$12:$F$71,'Расписание'!$D$12:$D$71,B16)</x:f>
        <x:v>32</x:v>
      </x:c>
      <x:c r="F16" s="11" t="n">
        <x:f>SUMIFS('Расписание'!$J$12:$J$71,'Расписание'!$D$12:$D$71,B16)</x:f>
        <x:v>0</x:v>
      </x:c>
      <x:c r="G16" s="2" t="n">
        <x:f>COUNTIFS('Расписание'!$D$12:$D$71,B16,'Расписание'!$K$12:$K$71,"Готово")</x:f>
        <x:v>0</x:v>
      </x:c>
      <x:c r="H16" s="13" t="str">
        <x:v>Индекс, две реализации цепочки, eval-набор, отчёт</x:v>
      </x:c>
      <x:c r="I16" s="13" t="str">
        <x:v>Прогоните контрольные вопросы, отсутствие ответа и чужой документ. Измерьте retrieval отдельно от генерации и покажите удаление документа.</x:v>
      </x:c>
    </x:row>
    <x:row r="17" ht="95" customHeight="1">
      <x:c r="A17" s="2" t="n">
        <x:v>12</x:v>
      </x:c>
      <x:c r="B17" s="13" t="str">
        <x:v>Интеграция, ревью и защита</x:v>
      </x:c>
      <x:c r="C17" s="9" t="n">
        <x:f>_xlfn.MINIFS('Расписание'!$B$12:$B$71,'Расписание'!$D$12:$D$71,B17)</x:f>
        <x:v>46383</x:v>
      </x:c>
      <x:c r="D17" s="9" t="n">
        <x:f>_xlfn.MAXIFS('Расписание'!$B$12:$B$71,'Расписание'!$D$12:$D$71,B17)</x:f>
        <x:v>46387</x:v>
      </x:c>
      <x:c r="E17" s="11" t="n">
        <x:f>SUMIFS('Расписание'!$F$12:$F$71,'Расписание'!$D$12:$D$71,B17)</x:f>
        <x:v>32</x:v>
      </x:c>
      <x:c r="F17" s="11" t="n">
        <x:f>SUMIFS('Расписание'!$J$12:$J$71,'Расписание'!$D$12:$D$71,B17)</x:f>
        <x:v>0</x:v>
      </x:c>
      <x:c r="G17" s="2" t="n">
        <x:f>COUNTIFS('Расписание'!$D$12:$D$71,B17,'Расписание'!$K$12:$K$71,"Готово")</x:f>
        <x:v>0</x:v>
      </x:c>
      <x:c r="H17" s="13" t="str">
        <x:v>README, ADR, тесты, runbook, запись защиты</x:v>
      </x:c>
      <x:c r="I17" s="13" t="str">
        <x:v>Проведите финальную демонстрацию без заранее открытого ноутбука. Воспроизведите сбой, восстановление, BI-сверку, прогноз и ответ RAG с источником.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</x:sheetData>
  <x:pageMargins left="0.7" right="0.7" top="0.75" bottom="0.75" header="0.3" footer="0.3"/>
  <x:tableParts count="1">
    <x:tablePart xmlns:r="http://schemas.openxmlformats.org/officeDocument/2006/relationships" r:id="Rc591d0af083247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" hidden="0" customWidth="1"/>
    <x:col min="2" max="2" width="32" hidden="0" customWidth="1"/>
    <x:col min="3" max="3" width="50" hidden="0" customWidth="1"/>
    <x:col min="4" max="4" width="70" hidden="0" customWidth="1"/>
    <x:col min="5" max="5" width="110" hidden="0" customWidth="1"/>
    <x:col min="6" max="6" width="85" hidden="0" customWidth="1"/>
    <x:col min="7" max="7" width="6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Уроки и полные практические задания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 t="str">
        <x:v>Полный текст, код и ответы — на сайте курса. Здесь — карта самостоятельной работы и критерии.</x:v>
      </x:c>
      <x:c r="B4" s="2"/>
      <x:c r="C4" s="2"/>
      <x:c r="D4" s="2"/>
      <x:c r="E4" s="2"/>
      <x:c r="F4" s="2"/>
      <x:c r="G4" s="2"/>
    </x:row>
    <x:row r="5" ht="36" customHeight="1">
      <x:c r="A5" s="20" t="str">
        <x:v>№</x:v>
      </x:c>
      <x:c r="B5" s="20" t="str">
        <x:v>Этап</x:v>
      </x:c>
      <x:c r="C5" s="20" t="str">
        <x:v>Урок</x:v>
      </x:c>
      <x:c r="D5" s="20" t="str">
        <x:v>Что разобрать</x:v>
      </x:c>
      <x:c r="E5" s="20" t="str">
        <x:v>Практика</x:v>
      </x:c>
      <x:c r="F5" s="20" t="str">
        <x:v>Критерии</x:v>
      </x:c>
      <x:c r="G5" s="20" t="str">
        <x:v>Адрес урока (скопируйте в браузер)</x:v>
      </x:c>
    </x:row>
    <x:row r="6" ht="150" customHeight="1">
      <x:c r="A6" s="2" t="n">
        <x:v>1</x:v>
      </x:c>
      <x:c r="B6" s="13" t="str">
        <x:v>Python как инженерный инструмент</x:v>
      </x:c>
      <x:c r="C6" s="13" t="str">
        <x:v>Среда, диагностика и сквозной проект</x:v>
      </x:c>
      <x:c r="D6" s="13" t="str">
        <x:v>Задача курса. Что знать до старта. Совместимость и изоляция. Что хранить в проекте</x:v>
      </x:c>
      <x:c r="E6" s="13" t="str">
        <x:v>1. Создайте репозиторий lab-platform с указанными каталогами, .gitignore и README.
2. Выполните диагностическую задачу на 20 строках, включая ИНН с ведущим нулём, дубли, пустую дату и возврат.
3. Запишите затраченное время и темы, которые пришлось искать. Выберите основной стек: Prefect + FastAPI + один BI; альтернативы изучайте через отдельные лабораторные.
4. Добавьте первый тест, проверьте установку из lock-файла в новом окружении.</x:v>
      </x:c>
      <x:c r="F6" s="13" t="str">
        <x:v>Другой человек запускает пример по README.
Версии и окружения записаны; в Git нет .env и рабочих выгрузок.
Есть минимум один проходящий тест и честная карта пробелов.</x:v>
      </x:c>
      <x:c r="G6" s="13" t="str">
        <x:v>http://localhost:8000/data-ai/index.html#/lesson/environment</x:v>
      </x:c>
    </x:row>
    <x:row r="7" ht="150" customHeight="1">
      <x:c r="A7" s="2" t="n">
        <x:v>2</x:v>
      </x:c>
      <x:c r="B7" s="13" t="str">
        <x:v>Python как инженерный инструмент</x:v>
      </x:c>
      <x:c r="C7" s="13" t="str">
        <x:v>Модель данных Python, итераторы и точные вычисления</x:v>
      </x:c>
      <x:c r="D7" s="13" t="str">
        <x:v>Объекты и ссылки. Итератор и генератор. Деньги, идентификаторы и время. Контроль ошибок на границе</x:v>
      </x:c>
      <x:c r="E7" s="13" t="str">
        <x:v>1. Добавьте поле operation: sale/return. Возврат должен менять знак суммы по утверждённому правилу, а количество во входе остаётся положительным.
2. Напишите генератор чтения CSV и отдельный обработчик ошибок с ключом строки и причиной.
3. Обработайте миллион синтетических записей пакетами и измерьте пиковую память. Объясните, какие структуры всё ещё растут.
4. Сравните округление суммы строк и округление общего произведения. Зафиксируйте выбранное правило.</x:v>
      </x:c>
      <x:c r="F7" s="13" t="str">
        <x:v>Исходные строки не изменяются.
Память ограничена пакетом, кроме явно описанных структур.
Пустое поле, неверное число и возврат имеют предсказуемый результат.</x:v>
      </x:c>
      <x:c r="G7" s="13" t="str">
        <x:v>http://localhost:8000/data-ai/index.html#/lesson/python-model</x:v>
      </x:c>
    </x:row>
    <x:row r="8" ht="150" customHeight="1">
      <x:c r="A8" s="2" t="n">
        <x:v>3</x:v>
      </x:c>
      <x:c r="B8" s="13" t="str">
        <x:v>Python как инженерный инструмент</x:v>
      </x:c>
      <x:c r="C8" s="13" t="str">
        <x:v>Типизация, контракты и тесты полезных свойств</x:v>
      </x:c>
      <x:c r="D8" s="13" t="str">
        <x:v>Зачем типы в динамическом языке. Три уровня контракта. Как выбирать тесты</x:v>
      </x:c>
      <x:c r="E8" s="13" t="str">
        <x:v>1. Опишите raw- и normalized-контракты с версией schema_version. Укажите обязательные и nullable-поля.
2. Добавьте парсер даты и Decimal с понятными ошибками, не позволяющий провести неизвестную операцию.
3. Напишите тест сохранения суммы при разбиении набора на пакеты и тест независимости от порядка входа.
4. Создайте интеграционный тест двух загрузок одного пакета в БД.</x:v>
      </x:c>
      <x:c r="F8" s="13" t="str">
        <x:v>Проверяются валидные, граничные и ошибочные данные.
Ошибки содержат ключ записи без паролей и чувствительных полей.
Есть отдельная проверка реального ограничения уникальности в БД.</x:v>
      </x:c>
      <x:c r="G8" s="13" t="str">
        <x:v>http://localhost:8000/data-ai/index.html#/lesson/contracts-tests</x:v>
      </x:c>
    </x:row>
    <x:row r="9" ht="150" customHeight="1">
      <x:c r="A9" s="2" t="n">
        <x:v>4</x:v>
      </x:c>
      <x:c r="B9" s="13" t="str">
        <x:v>Python как инженерный инструмент</x:v>
      </x:c>
      <x:c r="C9" s="13" t="str">
        <x:v>asyncio, ресурсы, профилирование и границы сервиса</x:v>
      </x:c>
      <x:c r="D9" s="13" t="str">
        <x:v>I/O и CPU. Ограничение нагрузки. Архитектурная граница. Сначала измерения</x:v>
      </x:c>
      <x:c r="E9" s="13" t="str">
        <x:v>1. Добавьте сбой на одной странице и убедитесь, что результат не объявляется полным.
2. Замените имитацию на учебный HTTP-адаптер с timeout и лимитом соединений.
3. Нарисуйте зависимости domain ← application ← adapters / API / orchestration. Объясните владельца транзакции.
4. Профилируйте последовательный и конкурентный вариант. Сохраните время, число строк и контрольную сумму.</x:v>
      </x:c>
      <x:c r="F9" s="13" t="str">
        <x:v>Активных запросов не больше установленного лимита.
Ресурсы закрываются при успехе, ошибке и отмене.
Оптимизация сравнивается на одинаковых данных.</x:v>
      </x:c>
      <x:c r="G9" s="13" t="str">
        <x:v>http://localhost:8000/data-ai/index.html#/lesson/concurrency</x:v>
      </x:c>
    </x:row>
    <x:row r="10" ht="150" customHeight="1">
      <x:c r="A10" s="2" t="n">
        <x:v>5</x:v>
      </x:c>
      <x:c r="B10" s="13" t="str">
        <x:v>pandas, Polars и SQLAlchemy</x:v>
      </x:c>
      <x:c r="C10" s="13" t="str">
        <x:v>pandas: типы, пропуски и качество данных</x:v>
      </x:c>
      <x:c r="D10" s="13" t="str">
        <x:v>Схема перед вычислением. Пропуск не равен нулю. Векторные операции и проверка результата</x:v>
      </x:c>
      <x:c r="E10" s="13" t="str">
        <x:v>1. Прочитайте sample/sales.csv из лабораторного комплекта и задайте типы ключей.
2. Добавьте правила обязательности организации, допустимой валюты и целочисленного количества, если этого требует товар.
3. Сохраните валидные строки в Parquet и отклонения в CSV с кодами причин.
4. Докажите равенство входных строк сумме валидных и отклонённых, не считая одну ошибочную строку дважды.</x:v>
      </x:c>
      <x:c r="F10" s="13" t="str">
        <x:v>Ведущие нули сохранены.
Ни одна строка не исчезла без объяснения.
Пропуски и реальные нули различаются.</x:v>
      </x:c>
      <x:c r="G10" s="13" t="str">
        <x:v>http://localhost:8000/data-ai/index.html#/lesson/pandas-quality</x:v>
      </x:c>
    </x:row>
    <x:row r="11" ht="150" customHeight="1">
      <x:c r="A11" s="2" t="n">
        <x:v>6</x:v>
      </x:c>
      <x:c r="B11" s="13" t="str">
        <x:v>pandas, Polars и SQLAlchemy</x:v>
      </x:c>
      <x:c r="C11" s="13" t="str">
        <x:v>pandas: JOIN, агрегации, окна и время</x:v>
      </x:c>
      <x:c r="D11" s="13" t="str">
        <x:v>Кардинальность важнее синтаксиса. Агрегат и окно. Время и интервал</x:v>
      </x:c>
      <x:c r="E11" s="13" t="str">
        <x:v>1. Добавьте неизвестного клиента и определите правило: технический Unknown либо quarantine с последующим дозаполнением.
2. Постройте выручку по дням, накопительный итог и долю организации без деления на ноль.
3. Создайте дубли в справочнике и покажите, что ошибка обнаруживается до публикации.
4. Сравните каждый итог с ручным расчётом на пяти строках, включая возврат и день без продаж.</x:v>
      </x:c>
      <x:c r="F11" s="13" t="str">
        <x:v>JOIN не увеличивает исходное число строк при связи many_to_one.
Неизвестные ключи обработаны явно.
Календарное окно и окно по строкам не смешаны.</x:v>
      </x:c>
      <x:c r="G11" s="13" t="str">
        <x:v>http://localhost:8000/data-ai/index.html#/lesson/pandas-joins</x:v>
      </x:c>
    </x:row>
    <x:row r="12" ht="150" customHeight="1">
      <x:c r="A12" s="2" t="n">
        <x:v>7</x:v>
      </x:c>
      <x:c r="B12" s="13" t="str">
        <x:v>pandas, Polars и SQLAlchemy</x:v>
      </x:c>
      <x:c r="C12" s="13" t="str">
        <x:v>Polars: выражения, LazyFrame и измерение производительности</x:v>
      </x:c>
      <x:c r="D12" s="13" t="str">
        <x:v>Выражения и контексты. Ленивое чтение. Честный бенчмарк</x:v>
      </x:c>
      <x:c r="E12" s="13" t="str">
        <x:v>1. Перепишите преобразование из предыдущего урока с проверками null и типов.
2. Сгенерируйте 100 тысяч и миллион строк; сравните pandas и Polars на Parquet.
3. Сохраните explain до и после добавления раннего выбора столбцов.
4. Опишите, когда оставите pandas: экосистема, простота текущего кода или измеренный выигрыш отсутствует.</x:v>
      </x:c>
      <x:c r="F12" s="13" t="str">
        <x:v>Результаты двух реализаций совпадают.
План объяснён словами, включая место фильтра.
Выбор движка опирается на измеренную задачу.</x:v>
      </x:c>
      <x:c r="G12" s="13" t="str">
        <x:v>http://localhost:8000/data-ai/index.html#/lesson/polars-lazy</x:v>
      </x:c>
    </x:row>
    <x:row r="13" ht="150" customHeight="1">
      <x:c r="A13" s="2" t="n">
        <x:v>8</x:v>
      </x:c>
      <x:c r="B13" s="13" t="str">
        <x:v>pandas, Polars и SQLAlchemy</x:v>
      </x:c>
      <x:c r="C13" s="13" t="str">
        <x:v>SQLAlchemy: транзакции, пакетная запись и ORM</x:v>
      </x:c>
      <x:c r="D13" s="13" t="str">
        <x:v>Engine, Connection и Session. Транзакция как бизнес-граница. Core, ORM и миграции</x:v>
      </x:c>
      <x:c r="E13" s="13" t="str">
        <x:v>1. Перенесите пример в PostgreSQL с ключом (source, document_id, line_no).
2. Добавьте batch_id, loaded_at и source_version, а checkpoint храните в той же транзакции.
3. Искусственно выбросьте исключение перед commit и проверьте отсутствие частично загруженного пакета.
4. Загрузите два пакета в обратном порядке версий и сохраните новое состояние.</x:v>
      </x:c>
      <x:c r="F13" s="13" t="str">
        <x:v>Две загрузки не удваивают строки.
Есть проверенный rollback и уникальное ограничение.
Версия события учитывается при обновлении.</x:v>
      </x:c>
      <x:c r="G13" s="13" t="str">
        <x:v>http://localhost:8000/data-ai/index.html#/lesson/sqlalchemy</x:v>
      </x:c>
    </x:row>
    <x:row r="14" ht="150" customHeight="1">
      <x:c r="A14" s="2" t="n">
        <x:v>9</x:v>
      </x:c>
      <x:c r="B14" s="13" t="str">
        <x:v>Экспертный SQL</x:v>
      </x:c>
      <x:c r="C14" s="13" t="str">
        <x:v>SQL: зерно, JOIN, NULL и корректные агрегаты</x:v>
      </x:c>
      <x:c r="D14" s="13" t="str">
        <x:v>Зерно результата. NULL и логика. Полуоткрытые интервалы и параметры</x:v>
      </x:c>
      <x:c r="E14" s="13" t="str">
        <x:v>1. Сделайте прямой JOIN исходных sales и payments и объясните полученные 300 вместо 150 по клиенту 1.
2. Напишите NOT EXISTS для клиентов без продаж, добавьте NULL в контрольный набор.
3. Постройте отчёт по всем клиентам, включая оплату без продажи, без потери строки.
4. Опишите зерно, полноту источников и смысл нулей в комментарии к каждому запросу.</x:v>
      </x:c>
      <x:c r="F14" s="13" t="str">
        <x:v>Зерно каждого CTE явно определено.
Возвраты, NULL и отсутствие совпадения проверены.
Итоги сверены с независимой агрегацией фактов.</x:v>
      </x:c>
      <x:c r="G14" s="13" t="str">
        <x:v>http://localhost:8000/data-ai/index.html#/lesson/sql-grain</x:v>
      </x:c>
    </x:row>
    <x:row r="15" ht="150" customHeight="1">
      <x:c r="A15" s="2" t="n">
        <x:v>10</x:v>
      </x:c>
      <x:c r="B15" s="13" t="str">
        <x:v>Экспертный SQL</x:v>
      </x:c>
      <x:c r="C15" s="13" t="str">
        <x:v>Оконные функции: ранги, накопления и последовательности</x:v>
      </x:c>
      <x:c r="D15" s="13" t="str">
        <x:v>Окно сохраняет строку. Рамка окна. Сравнение состояний</x:v>
      </x:c>
      <x:c r="E15" s="13" t="str">
        <x:v>1. Выберите последнюю версию документа из нескольких source_version.
2. Посчитайте top-3 товаров по выручке в каждой организации и отдельно объясните поведение при равенстве.
3. Постройте календарь и семидневную сумму по дням с отсутствующей активностью.
4. Найдите изменения сегмента клиента через LAG, включая переход из NULL в значение.</x:v>
      </x:c>
      <x:c r="F15" s="13" t="str">
        <x:v>Везде есть определённый порядок.
Выбранная рамка соответствует бизнес-вопросу.
Равенства, NULL и пропущенные дни проверены.</x:v>
      </x:c>
      <x:c r="G15" s="13" t="str">
        <x:v>http://localhost:8000/data-ai/index.html#/lesson/sql-windows</x:v>
      </x:c>
    </x:row>
    <x:row r="16" ht="150" customHeight="1">
      <x:c r="A16" s="2" t="n">
        <x:v>11</x:v>
      </x:c>
      <x:c r="B16" s="13" t="str">
        <x:v>Экспертный SQL</x:v>
      </x:c>
      <x:c r="C16" s="13" t="str">
        <x:v>EXPLAIN, индексы и стоимость запроса</x:v>
      </x:c>
      <x:c r="D16" s="13" t="str">
        <x:v>План — гипотеза оптимизатора. Как устроен выбор индекса. Рабочая процедура</x:v>
      </x:c>
      <x:c r="E16" s="13" t="str">
        <x:v>1. Сравните фильтр по дате с date(occurred_at) и с диапазоном timestamp.
2. Добавьте запрос на 90% таблицы и объясните отказ от индекса, если он произойдёт.
3. Измерьте цену записи и размер индекса.
4. Найдите N+1 в API: сравните 100 отдельных запросов с пакетным получением справочника.</x:v>
      </x:c>
      <x:c r="F16" s="13" t="str">
        <x:v>Есть actual rows, loops и buffers.
Результат запроса совпадает до и после изменения.
Описаны цена индекса и границы применимости.</x:v>
      </x:c>
      <x:c r="G16" s="13" t="str">
        <x:v>http://localhost:8000/data-ai/index.html#/lesson/sql-plans</x:v>
      </x:c>
    </x:row>
    <x:row r="17" ht="150" customHeight="1">
      <x:c r="A17" s="2" t="n">
        <x:v>12</x:v>
      </x:c>
      <x:c r="B17" s="13" t="str">
        <x:v>Экспертный SQL</x:v>
      </x:c>
      <x:c r="C17" s="13" t="str">
        <x:v>Изоляция, блокировки, upsert и гонки</x:v>
      </x:c>
      <x:c r="D17" s="13" t="str">
        <x:v>MVCC и изоляция. Потерянное обновление. Идемпотентность и версии</x:v>
      </x:c>
      <x:c r="E17" s="13" t="str">
        <x:v>1. Сначала воспроизведите потерю обновления через SELECT и присваивание готового числа.
2. Повторите исправленный вариант в двух сессиях и сохраните последовательность команд.
3. Добавьте inbox событий с UNIQUE(source,event_id), запись результата и изменение состояния в одной транзакции.
4. Смоделируйте два сообщения с версиями 2 и 1 и запретите откат к 1.</x:v>
      </x:c>
      <x:c r="F17" s="13" t="str">
        <x:v>Параллельные изменения дают правильный итог.
Повтор события не меняет итог второй раз.
Описаны timeout блокировки, retry и наблюдаемость конфликта.</x:v>
      </x:c>
      <x:c r="G17" s="13" t="str">
        <x:v>http://localhost:8000/data-ai/index.html#/lesson/sql-transactions</x:v>
      </x:c>
    </x:row>
    <x:row r="18" ht="150" customHeight="1">
      <x:c r="A18" s="2" t="n">
        <x:v>13</x:v>
      </x:c>
      <x:c r="B18" s="13" t="str">
        <x:v>DWH и моделирование данных</x:v>
      </x:c>
      <x:c r="C18" s="13" t="str">
        <x:v>DWH: слои, происхождение и договорённости о данных</x:v>
      </x:c>
      <x:c r="D18" s="13" t="str">
        <x:v>DWH как согласованный учёт. Роли слоёв. ETL и ELT. Data contract и lineage</x:v>
      </x:c>
      <x:c r="E18" s="13" t="str">
        <x:v>1. Нарисуйте источники УТ/УНФ/Бухгалтерии, потребителей API/BI/ML и четыре ответственности обработки.
2. Создайте договорённости для sales_lines, customers и stock_snapshot.
3. Добавьте batch_id к каждой загруженной строке и продемонстрируйте путь одной цифры к исходному пакету.
4. Определите доступ и срок хранения raw и quarantine, пользуясь синтетическими данными в учебной работе.</x:v>
      </x:c>
      <x:c r="F18" s="13" t="str">
        <x:v>Каждый слой имеет объяснимую задачу.
У набора есть владелец, ключ, единицы и срок обновления.
Показана трассировка итоговой суммы.</x:v>
      </x:c>
      <x:c r="G18" s="13" t="str">
        <x:v>http://localhost:8000/data-ai/index.html#/lesson/dwh-layers</x:v>
      </x:c>
    </x:row>
    <x:row r="19" ht="150" customHeight="1">
      <x:c r="A19" s="2" t="n">
        <x:v>14</x:v>
      </x:c>
      <x:c r="B19" s="13" t="str">
        <x:v>DWH и моделирование данных</x:v>
      </x:c>
      <x:c r="C19" s="13" t="str">
        <x:v>Звезда, снежинка и типы фактов</x:v>
      </x:c>
      <x:c r="D19" s="13" t="str">
        <x:v>Факты и измерения. Одна строка факта. Какие меры складывать. Ключи и Unknown</x:v>
      </x:c>
      <x:c r="E19" s="13" t="str">
        <x:v>1. Нарисуйте звезду с date, org, warehouse, customer, product и sales_line.
2. Добавьте fact_stock_snapshot отдельно и сформулируйте запрос остатка на конец месяца.
3. Для каждой меры укажите, по каким измерениям её можно суммировать.
4. Сравните звезду и снежинку категории товаров на одном отчёте и объясните решение.</x:v>
      </x:c>
      <x:c r="F19" s="13" t="str">
        <x:v>Зерно записано у каждой таблицы фактов.
Нет прямого JOIN двух детальных фактов.
Проценты и остатки агрегируются по правильным правилам.</x:v>
      </x:c>
      <x:c r="G19" s="13" t="str">
        <x:v>http://localhost:8000/data-ai/index.html#/lesson/star-schema</x:v>
      </x:c>
    </x:row>
    <x:row r="20" ht="150" customHeight="1">
      <x:c r="A20" s="2" t="n">
        <x:v>15</x:v>
      </x:c>
      <x:c r="B20" s="13" t="str">
        <x:v>DWH и моделирование данных</x:v>
      </x:c>
      <x:c r="C20" s="13" t="str">
        <x:v>SCD2, поздние справочники и история</x:v>
      </x:c>
      <x:c r="D20" s="13" t="str">
        <x:v>История отвечает бизнес-вопросу. Интервалы и атомарность. Поздняя информация</x:v>
      </x:c>
      <x:c r="E20" s="13" t="str">
        <x:v>1. Реализуйте закрытие и добавление версии в транзакции.
2. Напишите тесты отсутствия перекрытий и наличия не более одной текущей версии.
3. Добавьте позднее изменение с 10 ноября и пересчитайте только затронутые факты.
4. Сравните отчёты по историческому и текущему сегменту, подпишите различие.</x:v>
      </x:c>
      <x:c r="F20" s="13" t="str">
        <x:v>На любой момент не более одной версии клиента.
Проверены границы и поздние изменения.
Сумма продаж не меняется из-за исторического JOIN.</x:v>
      </x:c>
      <x:c r="G20" s="13" t="str">
        <x:v>http://localhost:8000/data-ai/index.html#/lesson/scd-history</x:v>
      </x:c>
    </x:row>
    <x:row r="21" ht="150" customHeight="1">
      <x:c r="A21" s="2" t="n">
        <x:v>16</x:v>
      </x:c>
      <x:c r="B21" s="13" t="str">
        <x:v>DWH и моделирование данных</x:v>
      </x:c>
      <x:c r="C21" s="13" t="str">
        <x:v>Инкременты, пересчёт витрин и сверка</x:v>
      </x:c>
      <x:c r="D21" s="13" t="str">
        <x:v>Дата документа не является курсором изменений. Checkpoint и окно перекрытия. Пересчёт затронутых периодов. Контрольные итоги</x:v>
      </x:c>
      <x:c r="E21" s="13" t="str">
        <x:v>1. Примените продажу, возврат, исправление даты и отмену проведения.
2. Повторите тот же пакет дважды, затем доставьте старую версию после новой.
3. Остановите загрузку перед последней страницей и перед commit.
4. Сделайте таблицу: исходная сумма, брак, фильтры учёта, текущий core, mart, разница с объяснением.</x:v>
      </x:c>
      <x:c r="F21" s="13" t="str">
        <x:v>Поздние изменения не теряются.
Повторы и старые версии не искажают итог.
Публикация неполного результата запрещена явной проверкой.</x:v>
      </x:c>
      <x:c r="G21" s="13" t="str">
        <x:v>http://localhost:8000/data-ai/index.html#/lesson/incremental-marts</x:v>
      </x:c>
    </x:row>
    <x:row r="22" ht="150" customHeight="1">
      <x:c r="A22" s="2" t="n">
        <x:v>17</x:v>
      </x:c>
      <x:c r="B22" s="13" t="str">
        <x:v>Данные и интерфейсы 1С</x:v>
      </x:c>
      <x:c r="C22" s="13" t="str">
        <x:v>Как читать данные 1С: УТ, УНФ, Бухгалтерия и неизвестная АТК</x:v>
      </x:c>
      <x:c r="D22" s="13" t="str">
        <x:v>Платформа и конфигурация. Основные объекты. Различия контуров. Практика исследования</x:v>
      </x:c>
      <x:c r="E22" s="13" t="str">
        <x:v>1. Выберите учебную базу или используйте mock-комплект; отметьте, что mock не подтверждает знание реальных метаданных.
2. Заполните карту УТ, УНФ, Бухгалтерии по доступной документации и отдельно список вопросов к владельцам.
3. Проследите один документ: шапка → строки → проведение → движения → отчёт.
4. Для АТК сформируйте запрос из пяти пунктов: название, релиз, владелец, объекты, протокол обмена.</x:v>
      </x:c>
      <x:c r="F22" s="13" t="str">
        <x:v>Различаются документы и движения.
Учётные определения согласованы отдельно для конфигураций.
АТК отмечена как неизвестная, без выдуманной структуры.</x:v>
      </x:c>
      <x:c r="G22" s="13" t="str">
        <x:v>http://localhost:8000/data-ai/index.html#/lesson/onec-model</x:v>
      </x:c>
    </x:row>
    <x:row r="23" ht="150" customHeight="1">
      <x:c r="A23" s="2" t="n">
        <x:v>18</x:v>
      </x:c>
      <x:c r="B23" s="13" t="str">
        <x:v>Данные и интерфейсы 1С</x:v>
      </x:c>
      <x:c r="C23" s="13" t="str">
        <x:v>Выгрузки 1С, язык запросов и регистры</x:v>
      </x:c>
      <x:c r="D23" s="13" t="str">
        <x:v>Файл тоже является API. Язык запросов 1С. Остатки и границы. Полнота и контроль</x:v>
      </x:c>
      <x:c r="E23" s="13" t="str">
        <x:v>1. Составьте контракт файла продаж и manifest для двух пакетов.
2. Сделайте одну выгрузку неполной, другую с неверной контрольной суммой; потребитель должен остановить публикацию.
3. Опишите запрос Остатки на выбранный момент и запрос Обороты за период для реального регистра либо оставьте имена неподтверждёнными.
4. Сверьте пять документов с отчётом 1С на одинаковых фильтрах.</x:v>
      </x:c>
      <x:c r="F23" s="13" t="str">
        <x:v>Потребитель не читает незавершённый файл.
Типы, период, ключ и полнота определены.
Имена объектов подтверждены либо явно обозначены как шаблон.</x:v>
      </x:c>
      <x:c r="G23" s="13" t="str">
        <x:v>http://localhost:8000/data-ai/index.html#/lesson/onec-exports</x:v>
      </x:c>
    </x:row>
    <x:row r="24" ht="150" customHeight="1">
      <x:c r="A24" s="2" t="n">
        <x:v>19</x:v>
      </x:c>
      <x:c r="B24" s="13" t="str">
        <x:v>Данные и интерфейсы 1С</x:v>
      </x:c>
      <x:c r="C24" s="13" t="str">
        <x:v>OData 1С: метаданные, фильтры, страницы и права</x:v>
      </x:c>
      <x:c r="D24" s="13" t="str">
        <x:v>Версия протокола и схема. Пагинация не гарантирует снимок. Надёжность клиента. Инкремент по договорённости</x:v>
      </x:c>
      <x:c r="E24" s="13" t="str">
        <x:v>1. Сохраните $metadata и сопоставьте одно entity set с внутренним контрактом.
2. Реализуйте тесты пустой страницы, 401, 429, 500, неверного JSON и ссылки на чужой сервер.
3. Загрузите несколько страниц mock и докажите полноту по manifest.
4. Опишите ограничения $skip при конкурентном изменении и выберите стратегию для реальной базы.</x:v>
      </x:c>
      <x:c r="F24" s="13" t="str">
        <x:v>Имена объектов сверены с метаданными.
Есть timeout, диагностика доступа и ограничение повторов.
Полнота и стратегия изменений описаны без выдуманного modified_at.</x:v>
      </x:c>
      <x:c r="G24" s="13" t="str">
        <x:v>http://localhost:8000/data-ai/index.html#/lesson/onec-odata</x:v>
      </x:c>
    </x:row>
    <x:row r="25" ht="150" customHeight="1">
      <x:c r="A25" s="2" t="n">
        <x:v>20</x:v>
      </x:c>
      <x:c r="B25" s="13" t="str">
        <x:v>Данные и интерфейсы 1С</x:v>
      </x:c>
      <x:c r="C25" s="13" t="str">
        <x:v>HTTP-сервис 1С и контракт обмена</x:v>
      </x:c>
      <x:c r="D25" s="13" t="str">
        <x:v>Зачем собственный сервис. Формат событий. Чтение и запись. Ошибки и поддержка</x:v>
      </x:c>
      <x:c r="E25" s="13" t="str">
        <x:v>1. Опишите OpenAPI/JSON Schema интерфейса, пределы страницы и срок хранения курсора.
2. Создайте mock с повтором события, delete, старой версией и разрывом истории.
3. Определите full-resync при истёкшем курсоре: потребитель не должен тихо продолжать.
4. Сопоставьте HTTP-контракт с объектами учебной 1С и напишите план реализации на BSL с владельцем конфигурации.</x:v>
      </x:c>
      <x:c r="F25" s="13" t="str">
        <x:v>Custom API явно отделён от OData.
Определены удаления, версии, повторы и потеря истории.
Есть контрактный тест и сценарий полного восстановления.</x:v>
      </x:c>
      <x:c r="G25" s="13" t="str">
        <x:v>http://localhost:8000/data-ai/index.html#/lesson/onec-http</x:v>
      </x:c>
    </x:row>
    <x:row r="26" ht="150" customHeight="1">
      <x:c r="A26" s="2" t="n">
        <x:v>21</x:v>
      </x:c>
      <x:c r="B26" s="13" t="str">
        <x:v>ETL/ELT и оркестрация</x:v>
      </x:c>
      <x:c r="C26" s="13" t="str">
        <x:v>ETL/ELT: от контракта к повторяемому запуску</x:v>
      </x:c>
      <x:c r="D26" s="13" t="str">
        <x:v>Пайплайн — управляемый сценарий. Идемпотентность по этапам. Проверки качества и карантин. Управление состоянием</x:v>
      </x:c>
      <x:c r="E26" s="13" t="str">
        <x:v>1. Соберите CLI python -m jobs.sales --start ... --end ... на лабораторном комплекте.
2. Сохраните manifest: число строк, checksum, cutoff, source и schema_version.
3. Определите три правила fail и два правила quarantine с обоснованием.
4. Прогоните одинаковый пакет, затем исправленный пакет той же сущности с большей версией.</x:v>
      </x:c>
      <x:c r="F26" s="13" t="str">
        <x:v>Все входные параметры явные.
Качество проверяется до публикации.
Checkpoint и данные согласованы после сбоя.</x:v>
      </x:c>
      <x:c r="G26" s="13" t="str">
        <x:v>http://localhost:8000/data-ai/index.html#/lesson/etl-contract</x:v>
      </x:c>
    </x:row>
    <x:row r="27" ht="150" customHeight="1">
      <x:c r="A27" s="2" t="n">
        <x:v>22</x:v>
      </x:c>
      <x:c r="B27" s="13" t="str">
        <x:v>ETL/ELT и оркестрация</x:v>
      </x:c>
      <x:c r="C27" s="13" t="str">
        <x:v>Prefect 3: flow, task, повторы и наблюдаемость</x:v>
      </x:c>
      <x:c r="D27" s="13" t="str">
        <x:v>Flow и task. Что повторять. Планирование и выполнение</x:v>
      </x:c>
      <x:c r="E27" s="13" t="str">
        <x:v>1. Подключите CLI-ядро предыдущего урока, не копируя бизнес-логику в task.
2. Смоделируйте один временный сетевой сбой и постоянную ошибку контракта, сравните состояния.
3. Сделайте deployment в учебной среде и продемонстрируйте запуск worker после перезапуска.
4. Добавьте параметры периода и run_id в структурированные логи, исключив секреты.</x:v>
      </x:c>
      <x:c r="F27" s="13" t="str">
        <x:v>Повторы ограничены и обоснованы.
Большие payload не уходят в служебное состояние.
Показан реальный запуск в выбранном execution-контуре.</x:v>
      </x:c>
      <x:c r="G27" s="13" t="str">
        <x:v>http://localhost:8000/data-ai/index.html#/lesson/prefect</x:v>
      </x:c>
    </x:row>
    <x:row r="28" ht="150" customHeight="1">
      <x:c r="A28" s="2" t="n">
        <x:v>23</x:v>
      </x:c>
      <x:c r="B28" s="13" t="str">
        <x:v>ETL/ELT и оркестрация</x:v>
      </x:c>
      <x:c r="C28" s="13" t="str">
        <x:v>Airflow 3: DAG, интервалы и backfill</x:v>
      </x:c>
      <x:c r="D28" s="13" t="str">
        <x:v>Граф и время данных. Парсинг не должен выполнять работу. Повторы и backfill. Airflow и Prefect</x:v>
      </x:c>
      <x:c r="E28" s="13" t="str">
        <x:v>1. Запустите DAG в отдельном поддерживаемом Linux-контуре и проверьте import errors.
2. Вручную запустите исторический интервал и покажите его в логах и manifest.
3. Повторите task после искусственного сбоя, убедитесь в отсутствии дублей.
4. Составьте ADR выбора основного оркестратора и предел параллельных запусков.</x:v>
      </x:c>
      <x:c r="F28" s="13" t="str">
        <x:v>DAG импортируется без побочных эффектов.
Обрабатывается интервал запуска, а не системное сегодня.
XCom содержит метаданные, backfill ограничен.</x:v>
      </x:c>
      <x:c r="G28" s="13" t="str">
        <x:v>http://localhost:8000/data-ai/index.html#/lesson/airflow</x:v>
      </x:c>
    </x:row>
    <x:row r="29" ht="150" customHeight="1">
      <x:c r="A29" s="2" t="n">
        <x:v>24</x:v>
      </x:c>
      <x:c r="B29" s="13" t="str">
        <x:v>ETL/ELT и оркестрация</x:v>
      </x:c>
      <x:c r="C29" s="13" t="str">
        <x:v>Восстановление, backpressure и контроль публикации</x:v>
      </x:c>
      <x:c r="D29" s="13" t="str">
        <x:v>Гарантии по эффекту. Backpressure. Согласованная публикация. Runbook</x:v>
      </x:c>
      <x:c r="E29" s="13" t="str">
        <x:v>1. Добавьте управляемые failpoints в учебный пайплайн, выключаемые по умолчанию.
2. Пройдите минимум четыре точки матрицы и сравните курсор, строки и суммы.
3. Реализуйте ограниченную очередь и измерьте lag при медленном consumer.
4. Напишите и выполните runbook восстановления из raw, затем попросите другого человека повторить.</x:v>
      </x:c>
      <x:c r="F29" s="13" t="str">
        <x:v>Проверены сбои до и после commit.
Есть мониторинг lag и свежести публикации.
Восстановление повторено по инструкции.</x:v>
      </x:c>
      <x:c r="G29" s="13" t="str">
        <x:v>http://localhost:8000/data-ai/index.html#/lesson/pipeline-recovery</x:v>
      </x:c>
    </x:row>
    <x:row r="30" ht="150" customHeight="1">
      <x:c r="A30" s="2" t="n">
        <x:v>25</x:v>
      </x:c>
      <x:c r="B30" s="13" t="str">
        <x:v>Python-бэкенд и API</x:v>
      </x:c>
      <x:c r="C30" s="13" t="str">
        <x:v>FastAPI: контракт API, валидация и пагинация</x:v>
      </x:c>
      <x:c r="D30" s="13" t="str">
        <x:v>Контракт для потребителя. Пагинация. Разделение обязанностей</x:v>
      </x:c>
      <x:c r="E30" s="13" t="str">
        <x:v>1. Подключите repository к mart через SQLAlchemy, укажите сортировку и индексы.
2. Добавьте фильтры периода [start,end) и организации из контекста доступа.
3. Напишите API-тесты: пустой набор, первая/последняя страница, limit=0/101, неверный период.
4. Добавьте published_at и publication_version, объясните поведение при обновлении между страницами.</x:v>
      </x:c>
      <x:c r="F30" s="13" t="str">
        <x:v>Пагинация не теряет строки на фиксированной публикации.
Вход и выход имеют отдельные схемы.
Ошибки БД не превращаются в пустой отчёт.</x:v>
      </x:c>
      <x:c r="G30" s="13" t="str">
        <x:v>http://localhost:8000/data-ai/index.html#/lesson/fastapi</x:v>
      </x:c>
    </x:row>
    <x:row r="31" ht="150" customHeight="1">
      <x:c r="A31" s="2" t="n">
        <x:v>26</x:v>
      </x:c>
      <x:c r="B31" s="13" t="str">
        <x:v>Python-бэкенд и API</x:v>
      </x:c>
      <x:c r="C31" s="13" t="str">
        <x:v>Авторизация, фоновые задачи и безопасные интеграции</x:v>
      </x:c>
      <x:c r="D31" s="13" t="str">
        <x:v>Аутентификация и авторизация. Границы ресурсов. Долгие задачи</x:v>
      </x:c>
      <x:c r="E31" s="13" t="str">
        <x:v>1. Составьте матрицу anonymous, analyst ORG1, analyst ORG2, admin с явными действиями.
2. Проверьте чужой job_id, ссылку на результат и прямой запрос к данным другой организации.
3. Опишите jobs-таблицу и переходы состояния с heartbeat/timeout worker.
4. Остановите worker во время экспорта, затем восстановите задачу без второго результата.</x:v>
      </x:c>
      <x:c r="F31" s="13" t="str">
        <x:v>Проверяется каждый путь чтения результата.
Перезапуск не теряет подтверждённую задачу.
Секреты исключены из логов и ответов.</x:v>
      </x:c>
      <x:c r="G31" s="13" t="str">
        <x:v>http://localhost:8000/data-ai/index.html#/lesson/api-security</x:v>
      </x:c>
    </x:row>
    <x:row r="32" ht="150" customHeight="1">
      <x:c r="A32" s="2" t="n">
        <x:v>27</x:v>
      </x:c>
      <x:c r="B32" s="13" t="str">
        <x:v>Python-бэкенд и API</x:v>
      </x:c>
      <x:c r="C32" s="13" t="str">
        <x:v>Django: ORM, миграции, admin и API</x:v>
      </x:c>
      <x:c r="D32" s="13" t="str">
        <x:v>Когда Django полезен. QuerySet и N+1. Миграции и транзакции. Безопасность приложения</x:v>
      </x:c>
      <x:c r="E32" s="13" t="str">
        <x:v>1. Создайте отдельное Django-окружение и app, выполните миграции.
2. Добавьте admin со scope организаций и тестом чужой строки.
3. Реализуйте JSON endpoint либо DRF serializer/viewset и сравните ответ с FastAPI.
4. Измерьте число SQL-запросов страницы с вложенным клиентом до и после подгрузки.</x:v>
      </x:c>
      <x:c r="F32" s="13" t="str">
        <x:v>Миграции применяются в пустой БД.
Нет N+1 и утечки организаций.
Описаны auth, CSRF и владелец схемы.</x:v>
      </x:c>
      <x:c r="G32" s="13" t="str">
        <x:v>http://localhost:8000/data-ai/index.html#/lesson/django</x:v>
      </x:c>
    </x:row>
    <x:row r="33" ht="150" customHeight="1">
      <x:c r="A33" s="2" t="n">
        <x:v>28</x:v>
      </x:c>
      <x:c r="B33" s="13" t="str">
        <x:v>Python-бэкенд и API</x:v>
      </x:c>
      <x:c r="C33" s="13" t="str">
        <x:v>Архитектура Python-сервиса и код-ревью</x:v>
      </x:c>
      <x:c r="D33" s="13" t="str">
        <x:v>Границы вместо слоёв ради слоёв. Что смотреть в ревью. ADR. Проверка границ</x:v>
      </x:c>
      <x:c r="E33" s="13" t="str">
        <x:v>1. Напишите ревью этого фрагмента с приоритетами и предлагаемыми проверками.
2. Перепишите сценарий через application service и адаптеры, используя готовое ядро загрузки.
3. Создайте два ADR: основной orchestration и FastAPI/Django.
4. Проведите ревью собственного изменения по примеру «исправление старого документа».</x:v>
      </x:c>
      <x:c r="F33" s="13" t="str">
        <x:v>Ревью объясняет последствия, а не только стиль.
ADR содержит варианты и цену выбора.
Тесты подтверждают изменённый сценарий и отказ.</x:v>
      </x:c>
      <x:c r="G33" s="13" t="str">
        <x:v>http://localhost:8000/data-ai/index.html#/lesson/service-review</x:v>
      </x:c>
    </x:row>
    <x:row r="34" ht="150" customHeight="1">
      <x:c r="A34" s="2" t="n">
        <x:v>29</x:v>
      </x:c>
      <x:c r="B34" s="13" t="str">
        <x:v>BI и визуализация</x:v>
      </x:c>
      <x:c r="C34" s="13" t="str">
        <x:v>Семантика BI: словарь мер и дизайн отчёта</x:v>
      </x:c>
      <x:c r="D34" s="13" t="str">
        <x:v>От решения к метрике. Семантический слой. Дизайн и полнота. Приёмка отчёта</x:v>
      </x:c>
      <x:c r="E34" s="13" t="str">
        <x:v>1. Составьте словарь десяти мер с примерами на пяти строках.
2. Нарисуйте макет: четыре показателя, линия по дням, категории и таблица документов.
3. Подготовьте SQL-сверку для трёх срезов и зафиксируйте ожидаемые итоги.
4. Опишите RLS и поведение при неуспешном обновлении.</x:v>
      </x:c>
      <x:c r="F34" s="13" t="str">
        <x:v>Формулы однозначны и имеют владельца.
Нули, пропуски и устаревшие данные различаются.
Есть проверка итогов и доступа.</x:v>
      </x:c>
      <x:c r="G34" s="13" t="str">
        <x:v>http://localhost:8000/data-ai/index.html#/lesson/bi-metrics</x:v>
      </x:c>
    </x:row>
    <x:row r="35" ht="150" customHeight="1">
      <x:c r="A35" s="2" t="n">
        <x:v>30</x:v>
      </x:c>
      <x:c r="B35" s="13" t="str">
        <x:v>BI и визуализация</x:v>
      </x:c>
      <x:c r="C35" s="13" t="str">
        <x:v>Power BI: модель, Power Query, DAX и доступ</x:v>
      </x:c>
      <x:c r="D35" s="13" t="str">
        <x:v>Модель. Power Query и режимы. DAX: контекст. Обновление и RLS</x:v>
      </x:c>
      <x:c r="E35" s="13" t="str">
        <x:v>1. Загрузите звезду из PostgreSQL или CSV-экспорта лабораторной.
2. Создайте календарь, четыре меры и страницу из предыдущего урока.
3. Проверьте итог и доли с несколькими фильтрами, сравните с SQL.
4. Создайте роль ORG1 и зафиксируйте ограничение; если есть среда публикации, проверьте refresh и доступ там отдельно.</x:v>
      </x:c>
      <x:c r="F35" s="13" t="str">
        <x:v>Измерения имеют уникальные ключи.
Меры корректны в строках и общем итоге.
Ограничения Desktop и сервера явно разделены.</x:v>
      </x:c>
      <x:c r="G35" s="13" t="str">
        <x:v>http://localhost:8000/data-ai/index.html#/lesson/powerbi</x:v>
      </x:c>
    </x:row>
    <x:row r="36" ht="150" customHeight="1">
      <x:c r="A36" s="2" t="n">
        <x:v>31</x:v>
      </x:c>
      <x:c r="B36" s="13" t="str">
        <x:v>BI и визуализация</x:v>
      </x:c>
      <x:c r="C36" s="13" t="str">
        <x:v>Qlik: ассоциативная модель, скрипт загрузки и Set Analysis</x:v>
      </x:c>
      <x:c r="D36" s="13" t="str">
        <x:v>Ассоциации. Скрипт загрузки. Set Analysis. Доступ и развёртывание</x:v>
      </x:c>
      <x:c r="E36" s="13" t="str">
        <x:v>1. Загрузите INLINE-пример, добавьте таблицу и три меры.
2. Выберите категорию A и объясните 80 рублей net и 100 рублей sale.
3. Намеренно создайте лишнее общее поле, исследуйте synthetic key и исправьте модель.
4. Сравните Qlik с основной BI-моделью по обновлению, правам и поддержке, отдельно указав непроверенное.</x:v>
      </x:c>
      <x:c r="F36" s="13" t="str">
        <x:v>Каждое общее поле имеет объяснимую связь.
Set Analysis соответствует названию меры.
Доступ и фактический запуск описаны честно.</x:v>
      </x:c>
      <x:c r="G36" s="13" t="str">
        <x:v>http://localhost:8000/data-ai/index.html#/lesson/qlik</x:v>
      </x:c>
    </x:row>
    <x:row r="37" ht="150" customHeight="1">
      <x:c r="A37" s="2" t="n">
        <x:v>32</x:v>
      </x:c>
      <x:c r="B37" s="13" t="str">
        <x:v>BI и визуализация</x:v>
      </x:c>
      <x:c r="C37" s="13" t="str">
        <x:v>Superset, Metabase и собственная витрина</x:v>
      </x:c>
      <x:c r="D37" s="13" t="str">
        <x:v>Superset. Metabase. Права и актуальность. Собственная витрина</x:v>
      </x:c>
      <x:c r="E37" s="13" t="str">
        <x:v>1. Выберите Superset или Metabase, запустите в учебном контуре по официальной инструкции.
2. Подключите read-only БД, создайте dataset/question, линию, таблицу и фильтры.
3. Проверьте пять контрольных срезов, экспорт и время публикации.
4. Заполните сравнение четырёх BI: модель, обновление, права, распространение, ограничения вашей установки.</x:v>
      </x:c>
      <x:c r="F37" s="13" t="str">
        <x:v>Есть один работающий дашборд и SQL-сверка.
Фильтры согласованы между всеми графиками.
Права и ограничения конкретной редакции проверены.</x:v>
      </x:c>
      <x:c r="G37" s="13" t="str">
        <x:v>http://localhost:8000/data-ai/index.html#/lesson/open-bi</x:v>
      </x:c>
    </x:row>
    <x:row r="38" ht="150" customHeight="1">
      <x:c r="A38" s="2" t="n">
        <x:v>33</x:v>
      </x:c>
      <x:c r="B38" s="13" t="str">
        <x:v>Прикладной ML: scikit-learn</x:v>
      </x:c>
      <x:c r="C38" s="13" t="str">
        <x:v>ML: задача, признаки, baseline и утечка</x:v>
      </x:c>
      <x:c r="D38" s="13" t="str">
        <x:v>Что прогнозируем. Leakage. Baseline. Качество данных и ограничения</x:v>
      </x:c>
      <x:c r="E38" s="13" t="str">
        <x:v>1. Сформулируйте одну задачу прогноза и альтернативную классификацию риска возврата.
2. Для каждого признака укажите earliest_available_at и возможную утечку.
3. Постройте временной split и baseline, сохраните метрику на validation.
4. Запишите ограничения синтетического набора и требования к реальным данным.</x:v>
      </x:c>
      <x:c r="F38" s="13" t="str">
        <x:v>Заданы момент, горизонт, объект и действие.
Для признаков проверена доступность во времени.
Есть baseline и независимый holdout.</x:v>
      </x:c>
      <x:c r="G38" s="13" t="str">
        <x:v>http://localhost:8000/data-ai/index.html#/lesson/ml-framing</x:v>
      </x:c>
    </x:row>
    <x:row r="39" ht="150" customHeight="1">
      <x:c r="A39" s="2" t="n">
        <x:v>34</x:v>
      </x:c>
      <x:c r="B39" s="13" t="str">
        <x:v>Прикладной ML: scikit-learn</x:v>
      </x:c>
      <x:c r="C39" s="13" t="str">
        <x:v>scikit-learn: Pipeline и подготовка признаков</x:v>
      </x:c>
      <x:c r="D39" s="13" t="str">
        <x:v>Fit и transform. Неизвестные категории. Сложность и контроль</x:v>
      </x:c>
      <x:c r="E39" s="13" t="str">
        <x:v>1. Подключите признаки из mart и временной split предыдущего урока.
2. Добавьте сезонный baseline и сравните с Ridge/деревом на validation.
3. Проверьте новый товар, пропуск числового поля и неизвестную категорию.
4. Сохраните pipeline, версии, список признаков и метрики в model card.</x:v>
      </x:c>
      <x:c r="F39" s="13" t="str">
        <x:v>Preprocessing не обучается на test.
Предсказание принимает тот же контракт полей.
Baseline и pipeline сравниваются на одном наборе.</x:v>
      </x:c>
      <x:c r="G39" s="13" t="str">
        <x:v>http://localhost:8000/data-ai/index.html#/lesson/sklearn-pipeline</x:v>
      </x:c>
    </x:row>
    <x:row r="40" ht="150" customHeight="1">
      <x:c r="A40" s="2" t="n">
        <x:v>35</x:v>
      </x:c>
      <x:c r="B40" s="13" t="str">
        <x:v>Прикладной ML: scikit-learn</x:v>
      </x:c>
      <x:c r="C40" s="13" t="str">
        <x:v>Метрики, пороги и анализ ошибок</x:v>
      </x:c>
      <x:c r="D40" s="13" t="str">
        <x:v>Регрессия. Классификация. Срезы и устойчивость. Решение о выпуске</x:v>
      </x:c>
      <x:c r="E40" s="13" t="str">
        <x:v>1. Составьте таблицу baseline/model на validation и одном закрытом test.
2. Для классификации риска возврата рассчитайте precision/recall при трёх порогах.
3. Выберите десять худших ошибок, проверьте данные и доступность признаков.
4. Оцените задержку предсказания и стоимость использования модели.</x:v>
      </x:c>
      <x:c r="F40" s="13" t="str">
        <x:v>Метрики соответствуют действию и цене ошибок.
Есть редкие и проблемные срезы.
Порог и правило выпуска выбраны без подглядывания в test.</x:v>
      </x:c>
      <x:c r="G40" s="13" t="str">
        <x:v>http://localhost:8000/data-ai/index.html#/lesson/ml-evaluation</x:v>
      </x:c>
    </x:row>
    <x:row r="41" ht="150" customHeight="1">
      <x:c r="A41" s="2" t="n">
        <x:v>36</x:v>
      </x:c>
      <x:c r="B41" s="13" t="str">
        <x:v>Прикладной ML: scikit-learn</x:v>
      </x:c>
      <x:c r="C41" s="13" t="str">
        <x:v>Модель в сервисе: версии, мониторинг и переобучение</x:v>
      </x:c>
      <x:c r="D41" s="13" t="str">
        <x:v>Артефакт и происхождение. Training-serving skew. Мониторинг. Выпуск и откат</x:v>
      </x:c>
      <x:c r="E41" s="13" t="str">
        <x:v>1. Добавьте /predict в учебный API с валидацией и model_version.
2. Сохраните и загрузите pipeline, сравните ответы на контрольном наборе.
3. Смоделируйте отсутствие признака и сдвиг категорий, проверьте fallback и метрики.
4. Опишите задержку появления target и период отчёта о качестве.</x:v>
      </x:c>
      <x:c r="F41" s="13" t="str">
        <x:v>Артефакт связан с данными и кодом.
Inference не обучает модель на запросе.
Есть контроль входа, мониторинг и проверенный откат.</x:v>
      </x:c>
      <x:c r="G41" s="13" t="str">
        <x:v>http://localhost:8000/data-ai/index.html#/lesson/ml-serving</x:v>
      </x:c>
    </x:row>
    <x:row r="42" ht="150" customHeight="1">
      <x:c r="A42" s="2" t="n">
        <x:v>37</x:v>
      </x:c>
      <x:c r="B42" s="13" t="str">
        <x:v>Нейросети: PyTorch и TensorFlow</x:v>
      </x:c>
      <x:c r="C42" s="13" t="str">
        <x:v>Тензоры, формы и автоматическое дифференцирование</x:v>
      </x:c>
      <x:c r="D42" s="13" t="str">
        <x:v>Тензор. Градиент и граф. Численная корректность</x:v>
      </x:c>
      <x:c r="E42" s="13" t="str">
        <x:v>1. Вычислите градиент вручную для другого w и проверьте autograd.
2. Создайте вход [8,3], линейный слой 3→1 и target [8,1], добавьте assert форм.
3. Намеренно подайте target [8], найдите broadcasting и исправьте.
4. Запишите правило очистки градиентов и продемонстрируйте накопление без него.</x:v>
      </x:c>
      <x:c r="F42" s="13" t="str">
        <x:v>Формы и типы записаны.
Градиент совпадает с ручным расчётом.
Накопление градиентов контролируется.</x:v>
      </x:c>
      <x:c r="G42" s="13" t="str">
        <x:v>http://localhost:8000/data-ai/index.html#/lesson/tensors</x:v>
      </x:c>
    </x:row>
    <x:row r="43" ht="150" customHeight="1">
      <x:c r="A43" s="2" t="n">
        <x:v>38</x:v>
      </x:c>
      <x:c r="B43" s="13" t="str">
        <x:v>Нейросети: PyTorch и TensorFlow</x:v>
      </x:c>
      <x:c r="C43" s="13" t="str">
        <x:v>PyTorch: цикл обучения, валидация и checkpoint</x:v>
      </x:c>
      <x:c r="D43" s="13" t="str">
        <x:v>Цикл. Проверка на маленьком наборе. Checkpoint</x:v>
      </x:c>
      <x:c r="E43" s="13" t="str">
        <x:v>1. Добавьте Dataset/DataLoader, шум и отдельный validation-набор.
2. Переобучитесь на 16 строках, затем верните обычную оценку.
3. Сохраните лучший checkpoint по validation, а не последний автоматически.
4. Сравните сеть со sklearn baseline на одинаковой задаче и измерьте задержку.</x:v>
      </x:c>
      <x:c r="F43" s="13" t="str">
        <x:v>Есть корректный train/eval.
Checkpoint восстанавливается в новом процессе.
Модель сравнивается с baseline на holdout.</x:v>
      </x:c>
      <x:c r="G43" s="13" t="str">
        <x:v>http://localhost:8000/data-ai/index.html#/lesson/pytorch-training</x:v>
      </x:c>
    </x:row>
    <x:row r="44" ht="150" customHeight="1">
      <x:c r="A44" s="2" t="n">
        <x:v>39</x:v>
      </x:c>
      <x:c r="B44" s="13" t="str">
        <x:v>Нейросети: PyTorch и TensorFlow</x:v>
      </x:c>
      <x:c r="C44" s="13" t="str">
        <x:v>TensorFlow/Keras: fit, callbacks и формат модели</x:v>
      </x:c>
      <x:c r="D44" s="13" t="str">
        <x:v>Общий принцип. Callbacks и validation. Окружение и сохранение</x:v>
      </x:c>
      <x:c r="E44" s="13" t="str">
        <x:v>1. Повторите задачу PyTorch на одинаковом train/validation и сравните метрики.
2. Добавьте явный test и не используйте его в callbacks.
3. Проверьте сохранение, загрузку и неверную форму входа.
4. Запишите таблицу выбора: отладка, экосистема, deployment, опыт команды и реальные измерения.</x:v>
      </x:c>
      <x:c r="F44" s="13" t="str">
        <x:v>Окружение отделено и версии зафиксированы.
Callbacks не используют test.
Сохранённая модель даёт тот же ответ.</x:v>
      </x:c>
      <x:c r="G44" s="13" t="str">
        <x:v>http://localhost:8000/data-ai/index.html#/lesson/tensorflow</x:v>
      </x:c>
    </x:row>
    <x:row r="45" ht="150" customHeight="1">
      <x:c r="A45" s="2" t="n">
        <x:v>40</x:v>
      </x:c>
      <x:c r="B45" s="13" t="str">
        <x:v>Нейросети: PyTorch и TensorFlow</x:v>
      </x:c>
      <x:c r="C45" s="13" t="str">
        <x:v>Нейросети: отладка, регуляризация и решение о применении</x:v>
      </x:c>
      <x:c r="D45" s="13" t="str">
        <x:v>Порядок диагностики. Регуляризация. Ресурсы и инференс. Выбор технологии</x:v>
      </x:c>
      <x:c r="E45" s="13" t="str">
        <x:v>1. Создайте ошибочную форму target и слишком большой learning rate, диагностируйте по порядку.
2. Проведите три опыта: baseline, небольшая сеть, сеть с одной регуляризацией.
3. Измерьте latency без времени загрузки модели и отдельно cold start.
4. Напишите решение о применении сети в сквозном проекте с условием пересмотра.</x:v>
      </x:c>
      <x:c r="F45" s="13" t="str">
        <x:v>Ошибки форм и gradients диагностируются.
Эксперименты воспроизводимы и сравнимы.
Выбор учитывает цену эксплуатации.</x:v>
      </x:c>
      <x:c r="G45" s="13" t="str">
        <x:v>http://localhost:8000/data-ai/index.html#/lesson/dl-debugging</x:v>
      </x:c>
    </x:row>
    <x:row r="46" ht="150" customHeight="1">
      <x:c r="A46" s="2" t="n">
        <x:v>41</x:v>
      </x:c>
      <x:c r="B46" s="13" t="str">
        <x:v>LLM, RAG и векторные БД</x:v>
      </x:c>
      <x:c r="C46" s="13" t="str">
        <x:v>RAG: документы, чанки, embeddings и поиск</x:v>
      </x:c>
      <x:c r="D46" s="13" t="str">
        <x:v>Как работает RAG. Документ и chunk. Поиск. Обновление</x:v>
      </x:c>
      <x:c r="E46" s="13" t="str">
        <x:v>1. Создайте 10–20 синтетических регламентов и 30 вопросов с expected doc_id/chunk_id.
2. Разбейте документы по заголовкам, сохраните версию и позиции.
3. Добавьте локальную embedding-модель, зафиксируйте её revision, размерность и ограничения длины.
4. Сравните lexical и vector retrieval по Recall@k, точным кодам и перефразировкам.</x:v>
      </x:c>
      <x:c r="F46" s="13" t="str">
        <x:v>Chunk связан с исходным местом документа.
Есть независимый retrieval-eval.
Обновление и удаление определены.</x:v>
      </x:c>
      <x:c r="G46" s="13" t="str">
        <x:v>http://localhost:8000/data-ai/index.html#/lesson/rag-design</x:v>
      </x:c>
    </x:row>
    <x:row r="47" ht="150" customHeight="1">
      <x:c r="A47" s="2" t="n">
        <x:v>42</x:v>
      </x:c>
      <x:c r="B47" s="13" t="str">
        <x:v>LLM, RAG и векторные БД</x:v>
      </x:c>
      <x:c r="C47" s="13" t="str">
        <x:v>Векторные БД: pgvector, Qdrant и Chroma</x:v>
      </x:c>
      <x:c r="D47" s="13" t="str">
        <x:v>Выбор хранилища. Точный и приближённый поиск. Фильтры и безопасность. Жизненный цикл</x:v>
      </x:c>
      <x:c r="E47" s="13" t="str">
        <x:v>1. Реализуйте один реальный store с embedding-моделью и метаданными.
2. Сравните exact и ANN на корпусе и двух фильтрах доступа.
3. Удалите документ и проверьте отсутствие всех его chunks в поиске и кэше.
4. Заполните ADR pgvector/Qdrant/Chroma по своим измерениям и среде.</x:v>
      </x:c>
      <x:c r="F47" s="13" t="str">
        <x:v>Размерность и метрика согласованы с моделью.
Доступ проверен до генерации.
Есть сравнение ANN с exact и проверка удаления.</x:v>
      </x:c>
      <x:c r="G47" s="13" t="str">
        <x:v>http://localhost:8000/data-ai/index.html#/lesson/vector-db</x:v>
      </x:c>
    </x:row>
    <x:row r="48" ht="150" customHeight="1">
      <x:c r="A48" s="2" t="n">
        <x:v>43</x:v>
      </x:c>
      <x:c r="B48" s="13" t="str">
        <x:v>LLM, RAG и векторные БД</x:v>
      </x:c>
      <x:c r="C48" s="13" t="str">
        <x:v>LangChain: явная RAG-цепочка и локальная LLM</x:v>
      </x:c>
      <x:c r="D48" s="13" t="str">
        <x:v>Явные этапы. Prompt не является границей безопасности. Локальный запуск. Цитаты и отказ</x:v>
      </x:c>
      <x:c r="E48" s="13" t="str">
        <x:v>1. Подключите retriever из предыдущего урока и добавьте лимит контекста.
2. Верните структурированный ответ: text, source_ids, model_version, index_version.
3. Проверьте отсутствие ответа, ложную цитату, prompt injection и документ чужой организации.
4. Измерьте retrieval latency, generation latency и размер контекста отдельно.</x:v>
      </x:c>
      <x:c r="F48" s="13" t="str">
        <x:v>Этапы доступны для отдельной проверки.
Источники и доступ проверяются кодом.
Есть negative tests и измерения задержки.</x:v>
      </x:c>
      <x:c r="G48" s="13" t="str">
        <x:v>http://localhost:8000/data-ai/index.html#/lesson/langchain</x:v>
      </x:c>
    </x:row>
    <x:row r="49" ht="150" customHeight="1">
      <x:c r="A49" s="2" t="n">
        <x:v>44</x:v>
      </x:c>
      <x:c r="B49" s="13" t="str">
        <x:v>LLM, RAG и векторные БД</x:v>
      </x:c>
      <x:c r="C49" s="13" t="str">
        <x:v>LlamaIndex и оценка RAG по контрольному набору</x:v>
      </x:c>
      <x:c r="D49" s="13" t="str">
        <x:v>LlamaIndex. Локальные embeddings. Два уровня оценки. Стабильный eval</x:v>
      </x:c>
      <x:c r="E49" s="13" t="str">
        <x:v>1. Повторите retrieval контрольных вопросов и сравните с LangChain-реализацией.
2. Составьте 30 вопросов: ответ есть, ответа нет, точный код, устаревший документ, чужой документ.
3. Для десяти ответов вручную проверьте каждое утверждение и ссылку.
4. Удалите/обновите регламент, повторите eval и сохраните отчёт о регрессиях.</x:v>
      </x:c>
      <x:c r="F49" s="13" t="str">
        <x:v>Модели и splitter заданы явно.
Оценка поиска отделена от оценки ответа.
Нет выдачи чужих или удалённых документов.</x:v>
      </x:c>
      <x:c r="G49" s="13" t="str">
        <x:v>http://localhost:8000/data-ai/index.html#/lesson/llama-eval</x:v>
      </x:c>
    </x:row>
    <x:row r="50" ht="150" customHeight="1">
      <x:c r="A50" s="2" t="n">
        <x:v>45</x:v>
      </x:c>
      <x:c r="B50" s="13" t="str">
        <x:v>Интеграция, ревью и защита</x:v>
      </x:c>
      <x:c r="C50" s="13" t="str">
        <x:v>Шины данных: события, outbox/inbox и порядок</x:v>
      </x:c>
      <x:c r="D50" s="13" t="str">
        <x:v>Синхронный и асинхронный обмен. Outbox. Inbox и порядок. Эволюция и replay</x:v>
      </x:c>
      <x:c r="E50" s="13" t="str">
        <x:v>1. Нарисуйте HTTP- и broker-вариант между 1С и Python, укажите точки отказа.
2. Реализуйте inbox на учебной БД и повторите одно событие десять раз.
3. Смоделируйте сбой после commit до ACK и старое событие после нового.
4. Опишите требования к реальной шине: продукт, topology, retention, DLQ, владельцы и доступ.</x:v>
      </x:c>
      <x:c r="F50" s="13" t="str">
        <x:v>Эффект не дублируется после повторной доставки.
Версии и порядок определены на нужном ключе.
Outbox, inbox и ACK показаны на схеме сбоев.</x:v>
      </x:c>
      <x:c r="G50" s="13" t="str">
        <x:v>http://localhost:8000/data-ai/index.html#/lesson/event-bus</x:v>
      </x:c>
    </x:row>
    <x:row r="51" ht="150" customHeight="1">
      <x:c r="A51" s="2" t="n">
        <x:v>46</x:v>
      </x:c>
      <x:c r="B51" s="13" t="str">
        <x:v>Интеграция, ревью и защита</x:v>
      </x:c>
      <x:c r="C51" s="13" t="str">
        <x:v>Эксплуатация: конфигурация, health, логи и восстановление</x:v>
      </x:c>
      <x:c r="D51" s="13" t="str">
        <x:v>Конфигурация. Liveness, readiness и свежесть. Наблюдаемость. Backup и restore</x:v>
      </x:c>
      <x:c r="E51" s="13" t="str">
        <x:v>1. Добавьте три отдельных сигнала: process, dependency readiness, freshness.
2. Постройте журнал одного сквозного запроса с request_id и run_id.
3. Сохраните учебную БД и восстановите в другой базе, сравните строки и суммы.
4. Пройдите runbook недоступного источника и ошибочной сверки, измерьте время восстановления.</x:v>
      </x:c>
      <x:c r="F51" s="13" t="str">
        <x:v>Процесс, зависимости и свежесть различаются.
Секреты отсутствуют в Git и логах.
Restore выполнен и сверен.</x:v>
      </x:c>
      <x:c r="G51" s="13" t="str">
        <x:v>http://localhost:8000/data-ai/index.html#/lesson/operations</x:v>
      </x:c>
    </x:row>
    <x:row r="52" ht="150" customHeight="1">
      <x:c r="A52" s="2" t="n">
        <x:v>47</x:v>
      </x:c>
      <x:c r="B52" s="13" t="str">
        <x:v>Интеграция, ревью и защита</x:v>
      </x:c>
      <x:c r="C52" s="13" t="str">
        <x:v>Архитектурное ревью сквозного проекта</x:v>
      </x:c>
      <x:c r="D52" s="13" t="str">
        <x:v>Один сценарий через систему. Нефункциональные требования. Ревью по категориям. Коммуникация решений</x:v>
      </x:c>
      <x:c r="E52" s="13" t="str">
        <x:v>1. Нарисуйте контекст, контейнеры/процессы и поток одного документа.
2. Сделайте пять ADR и таблицу рисков с доказательствами.
3. Проведите ревью с другой ролью: бухгалтер, аналитик, backend-разработчик, эксплуатация.
4. Устраните blockers и отдельно запишите непроверенные свойства реальной 1С/АТК/BI-публикации.</x:v>
      </x:c>
      <x:c r="F52" s="13" t="str">
        <x:v>Все требования связаны с реализацией или явным пробелом.
Есть проверенные отказы и границы доступа.
Решения объясняют альтернативы и цену.</x:v>
      </x:c>
      <x:c r="G52" s="13" t="str">
        <x:v>http://localhost:8000/data-ai/index.html#/lesson/architecture-defense</x:v>
      </x:c>
    </x:row>
    <x:row r="53" ht="150" customHeight="1">
      <x:c r="A53" s="2" t="n">
        <x:v>48</x:v>
      </x:c>
      <x:c r="B53" s="13" t="str">
        <x:v>Интеграция, ревью и защита</x:v>
      </x:c>
      <x:c r="C53" s="13" t="str">
        <x:v>Итоговая работа и план дальнейшего развития</x:v>
      </x:c>
      <x:c r="D53" s="13" t="str">
        <x:v>Что сдаётся. Демонстрация. Устная часть. После 31 декабря</x:v>
      </x:c>
      <x:c r="E53" s="13" t="str">
        <x:v>1. Соберите evidence.md: требование → артефакт → команда → наблюдаемый результат.
2. Пройдите защиту без текста уроков, запишите вопросы и затруднения.
3. Исправьте критичные ошибки данных/прав/восстановления и повторите затронутые проверки.
4. Составьте backlog 90 дней и выберите три ближайшие рабочие задачи для закрепления.</x:v>
      </x:c>
      <x:c r="F53" s="13" t="str">
        <x:v>Сквозной результат воспроизводится из README.
Показаны повтор, отказ, восстановление и доступ.
Все заявленные технологии имеют практический артефакт или явно отмеченный пробел.
Backlog опирается на выявленные ограничения.</x:v>
      </x:c>
      <x:c r="G53" s="13" t="str">
        <x:v>http://localhost:8000/data-ai/index.html#/lesson/final-defense</x:v>
      </x:c>
    </x:row>
  </x:sheetData>
  <x:pageMargins left="0.7" right="0.7" top="0.75" bottom="0.75" header="0.3" footer="0.3"/>
  <x:tableParts count="1">
    <x:tablePart xmlns:r="http://schemas.openxmlformats.org/officeDocument/2006/relationships" r:id="Rdc8cd10ab50746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2" hidden="0" customWidth="1"/>
    <x:col min="3" max="3" width="115" hidden="0" customWidth="1"/>
    <x:col min="4" max="4" width="30" hidden="0" customWidth="1"/>
  </x:cols>
  <x:sheetData>
    <x:row r="1">
      <x:c r="A1" s="2"/>
      <x:c r="B1" s="2"/>
      <x:c r="C1" s="2"/>
      <x:c r="D1" s="2"/>
    </x:row>
    <x:row r="2">
      <x:c r="A2" s="3" t="str">
        <x:v>Как редактировать план и где искать документацию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/>
      <x:c r="B4" s="2"/>
      <x:c r="C4" s="2"/>
      <x:c r="D4" s="2"/>
    </x:row>
    <x:row r="5" ht="55" customHeight="1">
      <x:c r="A5" s="2"/>
      <x:c r="B5" s="13" t="str">
        <x:v>Даты</x:v>
      </x:c>
      <x:c r="C5" s="13" t="str">
        <x:v>Начало и дедлайн находятся в Расписание!B4 и E4. Сдвиг начала переносит все 60 дней. Дата после дедлайна подсвечивается. Для индивидуальной перестановки замените формулу даты нужной строки.</x:v>
      </x:c>
      <x:c r="D5" s="2"/>
    </x:row>
    <x:row r="6" ht="55" customHeight="1">
      <x:c r="A6" s="2"/>
      <x:c r="B6" s="13" t="str">
        <x:v>Нагрузка</x:v>
      </x:c>
      <x:c r="C6" s="13" t="str">
        <x:v>H4 — часы буднего дня, K4 — выходного. В P строки можно ввести собственные часы, включая 0; очистка возвращает общую нагрузку.</x:v>
      </x:c>
      <x:c r="D6" s="2"/>
    </x:row>
    <x:row r="7" ht="55" customHeight="1">
      <x:c r="A7" s="2"/>
      <x:c r="B7" s="13" t="str">
        <x:v>Результат</x:v>
      </x:c>
      <x:c r="C7" s="13" t="str">
        <x:v>В J укажите фактические часы, в K выберите состояние. В O сохраняйте ссылки и заметки. Факт пуст до ввода; сводка показывает сумму введённых часов.</x:v>
      </x:c>
      <x:c r="D7" s="2"/>
    </x:row>
    <x:row r="8" ht="55" customHeight="1">
      <x:c r="A8" s="2"/>
      <x:c r="B8" s="13" t="str">
        <x:v>Учебный день</x:v>
      </x:c>
      <x:c r="C8" s="13" t="str">
        <x:v>Теория 25%, практика 55%, повтор и проверка — остаток. Все задания адаптируйте по диагностике. Время перерывов добавляйте отдельно.</x:v>
      </x:c>
      <x:c r="D8" s="2"/>
    </x:row>
    <x:row r="9" ht="55" customHeight="1">
      <x:c r="A9" s="2"/>
      <x:c r="B9" s="13" t="str">
        <x:v>Порядок</x:v>
      </x:c>
      <x:c r="C9" s="13" t="str">
        <x:v>Сортируйте/фильтруйте всю таблицу, чтобы заметки оставались со своей темой. Если меняете число дней, расширьте формулы сводок; автоматически добавляются только существующие 60 строк.</x:v>
      </x:c>
      <x:c r="D9" s="2"/>
    </x:row>
    <x:row r="10" ht="55" customHeight="1">
      <x:c r="A10" s="2"/>
      <x:c r="B10" s="13" t="str">
        <x:v>Сайт</x:v>
      </x:c>
      <x:c r="C10" s="13" t="str">
        <x:v>Из корня проекта: python -m http.server 8000. Затем http://localhost:8000/data-ai/index.html. Адреса на листе «Уроки» копируются в браузер и требуют работающего сервера.</x:v>
      </x:c>
      <x:c r="D10" s="2"/>
    </x:row>
    <x:row r="11" ht="55" customHeight="1">
      <x:c r="A11" s="2"/>
      <x:c r="B11" s="13" t="str">
        <x:v>Прогресс</x:v>
      </x:c>
      <x:c r="C11" s="13" t="str">
        <x:v>Excel и браузер независимы. На сайте есть отдельные заметки, статусы и JSON-копия. Изменение этой книги не обновляет сайт.</x:v>
      </x:c>
      <x:c r="D11" s="2"/>
    </x:row>
    <x:row r="12" ht="55" customHeight="1">
      <x:c r="A12" s="2"/>
      <x:c r="B12" s="13" t="str">
        <x:v>Основание плана</x:v>
      </x:c>
      <x:c r="C12" s="13" t="str">
        <x:v>Период и 6–8 часов в будни — ваши условия. 7 часов выбраны серединой диапазона. Выходные 4 часа — редактируемое допущение. Программа и распределение часов — авторский учебный план.</x:v>
      </x:c>
      <x:c r="D12" s="2"/>
    </x:row>
    <x:row r="13" ht="55" customHeight="1">
      <x:c r="A13" s="2"/>
      <x:c r="B13" s="13" t="str">
        <x:v>АТК</x:v>
      </x:c>
      <x:c r="C13" s="13" t="str">
        <x:v>Точное название неизвестно. Требуется исследование конфигурации, релиза, владельца, метаданных и обменов. Универсальная схема АТК не предполагается.</x:v>
      </x:c>
      <x:c r="D13" s="2"/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 ht="36" customHeight="1">
      <x:c r="A16" s="2"/>
      <x:c r="B16" s="20" t="str">
        <x:v>Официальный источник</x:v>
      </x:c>
      <x:c r="C16" s="20" t="str">
        <x:v>Ссылка</x:v>
      </x:c>
      <x:c r="D16" s="20" t="str">
        <x:v>Учебная область</x:v>
      </x:c>
    </x:row>
    <x:row r="17" ht="40" customHeight="1">
      <x:c r="A17" s="2"/>
      <x:c r="B17" s="13" t="str">
        <x:v>Python 3.12: asyncio и TaskGroup</x:v>
      </x:c>
      <x:c r="C17" s="13" t="str">
        <x:v>https://docs.python.org/3.12/library/asyncio-task.html</x:v>
      </x:c>
      <x:c r="D17" s="2" t="str">
        <x:v>python</x:v>
      </x:c>
    </x:row>
    <x:row r="18" ht="40" customHeight="1">
      <x:c r="A18" s="2"/>
      <x:c r="B18" s="13" t="str">
        <x:v>pytest: параметризация тестов</x:v>
      </x:c>
      <x:c r="C18" s="13" t="str">
        <x:v>https://docs.pytest.org/en/stable/how-to/parametrize.html</x:v>
      </x:c>
      <x:c r="D18" s="2" t="str">
        <x:v>pytest</x:v>
      </x:c>
    </x:row>
    <x:row r="19" ht="40" customHeight="1">
      <x:c r="A19" s="2"/>
      <x:c r="B19" s="13" t="str">
        <x:v>pandas: объединение таблиц</x:v>
      </x:c>
      <x:c r="C19" s="13" t="str">
        <x:v>https://pandas.pydata.org/docs/user_guide/merging.html</x:v>
      </x:c>
      <x:c r="D19" s="2" t="str">
        <x:v>pandas</x:v>
      </x:c>
    </x:row>
    <x:row r="20" ht="40" customHeight="1">
      <x:c r="A20" s="2"/>
      <x:c r="B20" s="13" t="str">
        <x:v>Polars: Lazy API</x:v>
      </x:c>
      <x:c r="C20" s="13" t="str">
        <x:v>https://docs.pola.rs/user-guide/lazy/using/</x:v>
      </x:c>
      <x:c r="D20" s="2" t="str">
        <x:v>polars</x:v>
      </x:c>
    </x:row>
    <x:row r="21" ht="40" customHeight="1">
      <x:c r="A21" s="2"/>
      <x:c r="B21" s="13" t="str">
        <x:v>SQLAlchemy: Unified Tutorial (ветка 2.0)</x:v>
      </x:c>
      <x:c r="C21" s="13" t="str">
        <x:v>https://docs.sqlalchemy.org/en/20/tutorial/</x:v>
      </x:c>
      <x:c r="D21" s="2" t="str">
        <x:v>sqlalchemy</x:v>
      </x:c>
    </x:row>
    <x:row r="22" ht="40" customHeight="1">
      <x:c r="A22" s="2"/>
      <x:c r="B22" s="13" t="str">
        <x:v>PostgreSQL: оконные функции</x:v>
      </x:c>
      <x:c r="C22" s="13" t="str">
        <x:v>https://www.postgresql.org/docs/current/tutorial-window.html</x:v>
      </x:c>
      <x:c r="D22" s="2" t="str">
        <x:v>postgres</x:v>
      </x:c>
    </x:row>
    <x:row r="23" ht="40" customHeight="1">
      <x:c r="A23" s="2"/>
      <x:c r="B23" s="13" t="str">
        <x:v>PostgreSQL: EXPLAIN</x:v>
      </x:c>
      <x:c r="C23" s="13" t="str">
        <x:v>https://www.postgresql.org/docs/current/using-explain.html</x:v>
      </x:c>
      <x:c r="D23" s="2" t="str">
        <x:v>postgresPlan</x:v>
      </x:c>
    </x:row>
    <x:row r="24" ht="40" customHeight="1">
      <x:c r="A24" s="2"/>
      <x:c r="B24" s="13" t="str">
        <x:v>1С: стандартный REST-интерфейс, OData 3.0</x:v>
      </x:c>
      <x:c r="C24" s="13" t="str">
        <x:v>https://v8.1c.ru/platforma/rest-interfeys/</x:v>
      </x:c>
      <x:c r="D24" s="2" t="str">
        <x:v>onec</x:v>
      </x:c>
    </x:row>
    <x:row r="25" ht="40" customHeight="1">
      <x:c r="A25" s="2"/>
      <x:c r="B25" s="13" t="str">
        <x:v>1С: возможности интеграции платформы</x:v>
      </x:c>
      <x:c r="C25" s="13" t="str">
        <x:v>https://v8.1c.ru/platforma/integraciya/</x:v>
      </x:c>
      <x:c r="D25" s="2" t="str">
        <x:v>integration</x:v>
      </x:c>
    </x:row>
    <x:row r="26" ht="40" customHeight="1">
      <x:c r="A26" s="2"/>
      <x:c r="B26" s="13" t="str">
        <x:v>Prefect 3: начало работы</x:v>
      </x:c>
      <x:c r="C26" s="13" t="str">
        <x:v>https://docs.prefect.io/v3/get-started</x:v>
      </x:c>
      <x:c r="D26" s="2" t="str">
        <x:v>prefect</x:v>
      </x:c>
    </x:row>
    <x:row r="27" ht="40" customHeight="1">
      <x:c r="A27" s="2"/>
      <x:c r="B27" s="13" t="str">
        <x:v>Airflow 3: TaskFlow API</x:v>
      </x:c>
      <x:c r="C27" s="13" t="str">
        <x:v>https://airflow.apache.org/docs/apache-airflow/stable/tutorial/taskflow.html</x:v>
      </x:c>
      <x:c r="D27" s="2" t="str">
        <x:v>airflow</x:v>
      </x:c>
    </x:row>
    <x:row r="28" ht="40" customHeight="1">
      <x:c r="A28" s="2"/>
      <x:c r="B28" s="13" t="str">
        <x:v>FastAPI: руководство</x:v>
      </x:c>
      <x:c r="C28" s="13" t="str">
        <x:v>https://fastapi.tiangolo.com/tutorial/</x:v>
      </x:c>
      <x:c r="D28" s="2" t="str">
        <x:v>fastapi</x:v>
      </x:c>
    </x:row>
    <x:row r="29" ht="40" customHeight="1">
      <x:c r="A29" s="2"/>
      <x:c r="B29" s="13" t="str">
        <x:v>Django 5.2: учебник</x:v>
      </x:c>
      <x:c r="C29" s="13" t="str">
        <x:v>https://docs.djangoproject.com/en/5.2/intro/tutorial01/</x:v>
      </x:c>
      <x:c r="D29" s="2" t="str">
        <x:v>django</x:v>
      </x:c>
    </x:row>
    <x:row r="30" ht="40" customHeight="1">
      <x:c r="A30" s="2"/>
      <x:c r="B30" s="13" t="str">
        <x:v>Power BI: моделирование звезды</x:v>
      </x:c>
      <x:c r="C30" s="13" t="str">
        <x:v>https://learn.microsoft.com/en-us/power-bi/guidance/star-schema</x:v>
      </x:c>
      <x:c r="D30" s="2" t="str">
        <x:v>powerbi</x:v>
      </x:c>
    </x:row>
    <x:row r="31" ht="40" customHeight="1">
      <x:c r="A31" s="2"/>
      <x:c r="B31" s="13" t="str">
        <x:v>Qlik: синтетические ключи</x:v>
      </x:c>
      <x:c r="C31" s="13" t="str">
        <x:v>https://help.qlik.com/en-US/sense/May2025/Subsystems/Hub/Content/Sense_Hub/Scripting/synthetic-keys.htm</x:v>
      </x:c>
      <x:c r="D31" s="2" t="str">
        <x:v>qlik</x:v>
      </x:c>
    </x:row>
    <x:row r="32" ht="40" customHeight="1">
      <x:c r="A32" s="2"/>
      <x:c r="B32" s="13" t="str">
        <x:v>Apache Superset: документация</x:v>
      </x:c>
      <x:c r="C32" s="13" t="str">
        <x:v>https://superset.apache.org/docs/intro/</x:v>
      </x:c>
      <x:c r="D32" s="2" t="str">
        <x:v>superset</x:v>
      </x:c>
    </x:row>
    <x:row r="33" ht="40" customHeight="1">
      <x:c r="A33" s="2"/>
      <x:c r="B33" s="13" t="str">
        <x:v>Metabase: документация</x:v>
      </x:c>
      <x:c r="C33" s="13" t="str">
        <x:v>https://www.metabase.com/docs/latest/</x:v>
      </x:c>
      <x:c r="D33" s="2" t="str">
        <x:v>metabase</x:v>
      </x:c>
    </x:row>
    <x:row r="34" ht="40" customHeight="1">
      <x:c r="A34" s="2"/>
      <x:c r="B34" s="13" t="str">
        <x:v>scikit-learn: ошибки и утечки данных</x:v>
      </x:c>
      <x:c r="C34" s="13" t="str">
        <x:v>https://scikit-learn.org/stable/common_pitfalls.html</x:v>
      </x:c>
      <x:c r="D34" s="2" t="str">
        <x:v>sklearn</x:v>
      </x:c>
    </x:row>
    <x:row r="35" ht="40" customHeight="1">
      <x:c r="A35" s="2"/>
      <x:c r="B35" s="13" t="str">
        <x:v>PyTorch: полный цикл обучения</x:v>
      </x:c>
      <x:c r="C35" s="13" t="str">
        <x:v>https://docs.pytorch.org/tutorials/beginner/basics/quickstart_tutorial.html</x:v>
      </x:c>
      <x:c r="D35" s="2" t="str">
        <x:v>torch</x:v>
      </x:c>
    </x:row>
    <x:row r="36" ht="40" customHeight="1">
      <x:c r="A36" s="2"/>
      <x:c r="B36" s="13" t="str">
        <x:v>TensorFlow 2 / Keras: начало работы</x:v>
      </x:c>
      <x:c r="C36" s="13" t="str">
        <x:v>https://www.tensorflow.org/tutorials/quickstart/beginner</x:v>
      </x:c>
      <x:c r="D36" s="2" t="str">
        <x:v>tensorflow</x:v>
      </x:c>
    </x:row>
    <x:row r="37" ht="40" customHeight="1">
      <x:c r="A37" s="2"/>
      <x:c r="B37" s="13" t="str">
        <x:v>LangChain: актуальная документация</x:v>
      </x:c>
      <x:c r="C37" s="13" t="str">
        <x:v>https://docs.langchain.com/oss/python/langchain/overview</x:v>
      </x:c>
      <x:c r="D37" s="2" t="str">
        <x:v>langchain</x:v>
      </x:c>
    </x:row>
    <x:row r="38" ht="40" customHeight="1">
      <x:c r="A38" s="2"/>
      <x:c r="B38" s="13" t="str">
        <x:v>LlamaIndex: вводный пример</x:v>
      </x:c>
      <x:c r="C38" s="13" t="str">
        <x:v>https://developers.llamaindex.ai/python/framework/getting_started/starter_example/</x:v>
      </x:c>
      <x:c r="D38" s="2" t="str">
        <x:v>llama</x:v>
      </x:c>
    </x:row>
    <x:row r="39" ht="40" customHeight="1">
      <x:c r="A39" s="2"/>
      <x:c r="B39" s="13" t="str">
        <x:v>pgvector: индексы и поиск</x:v>
      </x:c>
      <x:c r="C39" s="13" t="str">
        <x:v>https://github.com/pgvector/pgvector</x:v>
      </x:c>
      <x:c r="D39" s="2" t="str">
        <x:v>vector</x:v>
      </x:c>
    </x:row>
    <x:row r="40" ht="40" customHeight="1">
      <x:c r="A40" s="2"/>
      <x:c r="B40" s="13" t="str">
        <x:v>LangChain: локальная модель через ChatOllama</x:v>
      </x:c>
      <x:c r="C40" s="13" t="str">
        <x:v>https://docs.langchain.com/oss/python/integrations/chat/ollama</x:v>
      </x:c>
      <x:c r="D40" s="2" t="str">
        <x:v>ollama</x:v>
      </x:c>
    </x:row>
    <x:row r="41" ht="40" customHeight="1">
      <x:c r="A41" s="2"/>
      <x:c r="B41" s="13" t="str">
        <x:v>LlamaIndex: локальные embeddings HuggingFace</x:v>
      </x:c>
      <x:c r="C41" s="13" t="str">
        <x:v>https://developers.llamaindex.ai/python/framework/integrations/embeddings/huggingface/</x:v>
      </x:c>
      <x:c r="D41" s="2" t="str">
        <x:v>llamaEmbed</x:v>
      </x:c>
    </x:row>
    <x:row r="42" ht="40" customHeight="1">
      <x:c r="A42" s="2"/>
      <x:c r="B42" s="13" t="str">
        <x:v>Карточка учебной multilingual MiniLM</x:v>
      </x:c>
      <x:c r="C42" s="13" t="str">
        <x:v>https://huggingface.co/sentence-transformers/paraphrase-multilingual-MiniLM-L12-v2</x:v>
      </x:c>
      <x:c r="D42" s="2" t="str">
        <x:v>embedding</x:v>
      </x:c>
    </x:row>
    <x:row r="43" ht="40" customHeight="1">
      <x:c r="A43" s="2"/>
      <x:c r="B43" s="13" t="str">
        <x:v>Qdrant: документация</x:v>
      </x:c>
      <x:c r="C43" s="13" t="str">
        <x:v>https://qdrant.tech/documentation/overview/</x:v>
      </x:c>
      <x:c r="D43" s="2" t="str">
        <x:v>qdrant</x:v>
      </x:c>
    </x:row>
    <x:row r="44" ht="40" customHeight="1">
      <x:c r="A44" s="2"/>
      <x:c r="B44" s="13" t="str">
        <x:v>Chroma: документация</x:v>
      </x:c>
      <x:c r="C44" s="13" t="str">
        <x:v>https://docs.trychroma.com/docs/overview/introduction</x:v>
      </x:c>
      <x:c r="D44" s="2" t="str">
        <x:v>chroma</x:v>
      </x:c>
    </x:row>
    <x:row r="45">
      <x:c r="A45" s="2"/>
      <x:c r="B45" s="2"/>
      <x:c r="C45" s="2"/>
      <x:c r="D45" s="2"/>
    </x:row>
  </x:sheetData>
  <x:pageMargins left="0.7" right="0.7" top="0.75" bottom="0.75" header="0.3" footer="0.3"/>
</x:worksheet>
</file>